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795" yWindow="4020" windowWidth="22605" windowHeight="15345" tabRatio="825" firstSheet="0" activeTab="1" autoFilterDateGrouping="1"/>
  </bookViews>
  <sheets>
    <sheet name="Overview" sheetId="1" state="visible" r:id="rId1"/>
    <sheet name="Dashboard" sheetId="2" state="visible" r:id="rId2"/>
    <sheet name="A.1 Praxeological Log" sheetId="3" state="visible" r:id="rId3"/>
    <sheet name="A.2 Transmission-Mechanism Metr" sheetId="4" state="visible" r:id="rId4"/>
    <sheet name="A.3 Historical Episode Review" sheetId="5" state="visible" r:id="rId5"/>
    <sheet name="A.4 Forward Metric Tracking" sheetId="6" state="visible" r:id="rId6"/>
    <sheet name="Resources" sheetId="7" state="visible" r:id="rId7"/>
    <sheet name="Schedule &amp; Milestones" sheetId="8" state="visible" r:id="rId8"/>
    <sheet name="Methods" sheetId="9" state="visible" r:id="rId9"/>
    <sheet name="CHANGELOG" sheetId="10" state="visible" r:id="rId10"/>
  </sheets>
  <definedNames>
    <definedName name="_xlnm._FilterDatabase" localSheetId="9" hidden="1">'CHANGELOG'!$A$1:$G$113</definedName>
  </definedNames>
  <calcPr calcId="191029" fullCalcOnLoad="1"/>
</workbook>
</file>

<file path=xl/styles.xml><?xml version="1.0" encoding="utf-8"?>
<styleSheet xmlns="http://schemas.openxmlformats.org/spreadsheetml/2006/main">
  <numFmts count="7">
    <numFmt numFmtId="164" formatCode="d\-mmm\-yyyy"/>
    <numFmt numFmtId="165" formatCode="d\ mmmm\ yyyy"/>
    <numFmt numFmtId="166" formatCode="[$-409]d\-mmm\-yy;@"/>
    <numFmt numFmtId="167" formatCode="0.0"/>
    <numFmt numFmtId="168" formatCode="yyyy\-mm\-dd"/>
    <numFmt numFmtId="169" formatCode="yyyy\-mm\-dd\ h:mm:ss"/>
    <numFmt numFmtId="170" formatCode="YYYY-MM-DD"/>
  </numFmts>
  <fonts count="26">
    <font>
      <name val="Arial"/>
      <color rgb="FF000000"/>
      <sz val="10"/>
      <scheme val="minor"/>
    </font>
    <font>
      <name val="Arial"/>
      <family val="2"/>
      <b val="1"/>
      <color rgb="FFFFFFFF"/>
      <sz val="18"/>
      <scheme val="minor"/>
    </font>
    <font>
      <name val="Arial"/>
      <family val="2"/>
      <i val="1"/>
      <color theme="1"/>
      <sz val="9"/>
      <scheme val="minor"/>
    </font>
    <font>
      <name val="Arial"/>
      <family val="2"/>
      <b val="1"/>
      <color theme="1"/>
      <sz val="12"/>
      <scheme val="minor"/>
    </font>
    <font>
      <name val="Arial"/>
      <family val="2"/>
      <color theme="1"/>
      <sz val="10"/>
      <scheme val="minor"/>
    </font>
    <font>
      <name val="Arial"/>
      <family val="2"/>
      <b val="1"/>
      <color theme="1"/>
      <sz val="14"/>
      <scheme val="minor"/>
    </font>
    <font>
      <name val="Arial"/>
      <family val="2"/>
      <b val="1"/>
      <color theme="1"/>
      <sz val="11"/>
      <scheme val="minor"/>
    </font>
    <font>
      <name val="Arial"/>
      <family val="2"/>
      <color rgb="FF0000FF"/>
      <sz val="10"/>
      <u val="single"/>
    </font>
    <font>
      <name val="Arial"/>
      <family val="2"/>
      <b val="1"/>
      <color rgb="FFFFFFFF"/>
      <sz val="12"/>
      <scheme val="minor"/>
    </font>
    <font>
      <name val="Arial"/>
      <family val="2"/>
      <color rgb="FFFF0000"/>
      <sz val="10"/>
      <scheme val="minor"/>
    </font>
    <font>
      <name val="Arial"/>
      <family val="2"/>
      <color theme="7"/>
      <sz val="10"/>
      <scheme val="minor"/>
    </font>
    <font>
      <name val="Arial"/>
      <family val="2"/>
      <color rgb="FF000000"/>
      <sz val="10"/>
      <scheme val="minor"/>
    </font>
    <font>
      <name val="Arial"/>
      <family val="2"/>
      <sz val="10"/>
      <scheme val="minor"/>
    </font>
    <font>
      <name val="Arial"/>
      <family val="2"/>
      <color theme="10"/>
      <sz val="10"/>
      <u val="single"/>
      <scheme val="minor"/>
    </font>
    <font>
      <name val="Arial"/>
      <family val="2"/>
      <b val="1"/>
      <color rgb="FF000000"/>
      <sz val="12"/>
      <scheme val="minor"/>
    </font>
    <font>
      <name val="Arial"/>
      <family val="2"/>
      <color theme="4" tint="-0.249977111117893"/>
      <sz val="10"/>
      <u val="single"/>
      <scheme val="minor"/>
    </font>
    <font>
      <name val="Arial"/>
      <family val="2"/>
      <color theme="4" tint="-0.249977111117893"/>
      <sz val="10"/>
      <u val="single"/>
    </font>
    <font>
      <name val="Arial"/>
      <family val="2"/>
      <color theme="4" tint="-0.249977111117893"/>
      <sz val="10"/>
      <scheme val="minor"/>
    </font>
    <font>
      <name val="Arial"/>
      <family val="2"/>
      <color rgb="FF000000"/>
      <sz val="10"/>
    </font>
    <font>
      <name val="Arial"/>
      <family val="2"/>
      <b val="1"/>
      <sz val="12"/>
    </font>
    <font>
      <name val="Arial"/>
      <family val="2"/>
      <sz val="10"/>
    </font>
    <font>
      <name val="Calibri"/>
      <color rgb="00333333"/>
      <sz val="10"/>
    </font>
    <font>
      <name val="Calibri"/>
      <b val="1"/>
      <color rgb="00FFFFFF"/>
      <sz val="11"/>
    </font>
    <font>
      <name val="Calibri"/>
      <color rgb="00000000"/>
      <sz val="10"/>
    </font>
    <font>
      <name val="Calibri"/>
      <color rgb="000563C1"/>
      <sz val="10"/>
      <u val="single"/>
    </font>
    <font>
      <name val="Calibri"/>
      <i val="1"/>
      <color rgb="00333333"/>
      <sz val="10"/>
    </font>
  </fonts>
  <fills count="12">
    <fill>
      <patternFill/>
    </fill>
    <fill>
      <patternFill patternType="gray125"/>
    </fill>
    <fill>
      <patternFill patternType="solid">
        <fgColor rgb="FF434343"/>
        <bgColor rgb="FF434343"/>
      </patternFill>
    </fill>
    <fill>
      <patternFill patternType="solid">
        <fgColor rgb="FFD9D9D9"/>
        <bgColor rgb="FFD9D9D9"/>
      </patternFill>
    </fill>
    <fill>
      <patternFill patternType="solid">
        <fgColor rgb="FFF3F3F3"/>
        <bgColor rgb="FFF3F3F3"/>
      </patternFill>
    </fill>
    <fill>
      <patternFill patternType="solid">
        <fgColor rgb="FFFFF5D9"/>
        <bgColor rgb="FFFFF5D9"/>
      </patternFill>
    </fill>
    <fill>
      <patternFill patternType="solid">
        <fgColor rgb="FFB7B7B7"/>
        <bgColor rgb="FFB7B7B7"/>
      </patternFill>
    </fill>
    <fill>
      <patternFill patternType="solid">
        <fgColor rgb="FFFFFF00"/>
        <bgColor rgb="FFFFFF00"/>
      </patternFill>
    </fill>
    <fill>
      <patternFill patternType="solid">
        <fgColor rgb="FFD9E2F3"/>
        <bgColor rgb="FFD9E2F3"/>
      </patternFill>
    </fill>
    <fill>
      <patternFill patternType="solid">
        <fgColor rgb="FFFFF2CC"/>
        <bgColor rgb="FFFFF2CC"/>
      </patternFill>
    </fill>
    <fill>
      <patternFill patternType="solid">
        <fgColor rgb="001F4E79"/>
      </patternFill>
    </fill>
    <fill>
      <patternFill patternType="solid">
        <fgColor rgb="00FFFFFF"/>
      </patternFill>
    </fill>
  </fills>
  <borders count="17">
    <border>
      <left/>
      <right/>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999999"/>
      </left>
      <right style="thin">
        <color rgb="FF999999"/>
      </right>
      <top style="thin">
        <color rgb="FF999999"/>
      </top>
      <bottom/>
      <diagonal/>
    </border>
    <border>
      <left style="thin">
        <color rgb="FFB0B0B0"/>
      </left>
      <right style="thin">
        <color rgb="FFB0B0B0"/>
      </right>
      <top style="thin">
        <color rgb="FFB0B0B0"/>
      </top>
      <bottom style="thin">
        <color rgb="FFB0B0B0"/>
      </bottom>
      <diagonal/>
    </border>
    <border>
      <left style="thin">
        <color rgb="00D0D0D0"/>
      </left>
      <right style="thin">
        <color rgb="00D0D0D0"/>
      </right>
      <top style="thin">
        <color rgb="00D0D0D0"/>
      </top>
      <bottom style="thin">
        <color rgb="00D0D0D0"/>
      </bottom>
    </border>
  </borders>
  <cellStyleXfs count="2">
    <xf numFmtId="0" fontId="0" fillId="0" borderId="0"/>
    <xf numFmtId="0" fontId="13" fillId="0" borderId="0"/>
  </cellStyleXfs>
  <cellXfs count="107">
    <xf numFmtId="0" fontId="0" fillId="0" borderId="0" pivotButton="0" quotePrefix="0" xfId="0"/>
    <xf numFmtId="0" fontId="4" fillId="0" borderId="0" pivotButton="0" quotePrefix="0" xfId="0"/>
    <xf numFmtId="14" fontId="4" fillId="0" borderId="0" applyAlignment="1" pivotButton="0" quotePrefix="0" xfId="0">
      <alignment horizontal="right"/>
    </xf>
    <xf numFmtId="0" fontId="3" fillId="3" borderId="0" applyAlignment="1" pivotButton="0" quotePrefix="0" xfId="0">
      <alignment wrapText="1"/>
    </xf>
    <xf numFmtId="164" fontId="4" fillId="0"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wrapText="1"/>
    </xf>
    <xf numFmtId="164" fontId="4" fillId="0" borderId="0" applyAlignment="1" pivotButton="0" quotePrefix="0" xfId="0">
      <alignment wrapText="1"/>
    </xf>
    <xf numFmtId="0" fontId="3" fillId="6" borderId="0" applyAlignment="1" pivotButton="0" quotePrefix="0" xfId="0">
      <alignment horizontal="center" wrapText="1"/>
    </xf>
    <xf numFmtId="165" fontId="4" fillId="0" borderId="0" applyAlignment="1" pivotButton="0" quotePrefix="0" xfId="0">
      <alignment horizontal="left" wrapText="1"/>
    </xf>
    <xf numFmtId="166" fontId="4" fillId="0" borderId="0" applyAlignment="1" pivotButton="0" quotePrefix="0" xfId="0">
      <alignment vertical="top" wrapText="1"/>
    </xf>
    <xf numFmtId="166" fontId="4" fillId="0" borderId="0" applyAlignment="1" pivotButton="0" quotePrefix="0" xfId="0">
      <alignment wrapText="1"/>
    </xf>
    <xf numFmtId="0" fontId="11" fillId="0" borderId="0" pivotButton="0" quotePrefix="0" xfId="0"/>
    <xf numFmtId="0" fontId="11" fillId="0" borderId="0" applyAlignment="1" pivotButton="0" quotePrefix="0" xfId="0">
      <alignment wrapText="1"/>
    </xf>
    <xf numFmtId="0" fontId="11" fillId="0" borderId="0" applyAlignment="1" pivotButton="0" quotePrefix="0" xfId="0">
      <alignment vertical="top" wrapText="1"/>
    </xf>
    <xf numFmtId="166" fontId="0" fillId="0" borderId="0" pivotButton="0" quotePrefix="0" xfId="0"/>
    <xf numFmtId="15" fontId="4" fillId="0" borderId="0" applyAlignment="1" pivotButton="0" quotePrefix="0" xfId="0">
      <alignment vertical="top" wrapText="1"/>
    </xf>
    <xf numFmtId="0" fontId="11" fillId="0" borderId="0" applyAlignment="1" pivotButton="0" quotePrefix="0" xfId="0">
      <alignment vertical="top"/>
    </xf>
    <xf numFmtId="166" fontId="0" fillId="0" borderId="0" applyAlignment="1" pivotButton="0" quotePrefix="0" xfId="0">
      <alignment wrapText="1"/>
    </xf>
    <xf numFmtId="166" fontId="4" fillId="0" borderId="0" applyAlignment="1" pivotButton="0" quotePrefix="0" xfId="0">
      <alignment horizontal="right" wrapText="1"/>
    </xf>
    <xf numFmtId="166" fontId="4" fillId="0" borderId="0" applyAlignment="1" pivotButton="0" quotePrefix="0" xfId="0">
      <alignment horizontal="right"/>
    </xf>
    <xf numFmtId="0" fontId="9"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0" fillId="0" borderId="0" applyAlignment="1" pivotButton="0" quotePrefix="0" xfId="0">
      <alignment horizontal="center" vertical="center"/>
    </xf>
    <xf numFmtId="0" fontId="4" fillId="0" borderId="0" applyAlignment="1" pivotButton="0" quotePrefix="0" xfId="0">
      <alignment horizontal="center"/>
    </xf>
    <xf numFmtId="0" fontId="12" fillId="0" borderId="0" applyAlignment="1" pivotButton="0" quotePrefix="0" xfId="0">
      <alignment horizontal="center"/>
    </xf>
    <xf numFmtId="15" fontId="11" fillId="0" borderId="0" applyAlignment="1" pivotButton="0" quotePrefix="0" xfId="0">
      <alignment vertical="top"/>
    </xf>
    <xf numFmtId="0" fontId="4" fillId="0" borderId="0" applyAlignment="1" pivotButton="0" quotePrefix="0" xfId="0">
      <alignment horizontal="right" vertical="top" wrapText="1"/>
    </xf>
    <xf numFmtId="0" fontId="11" fillId="0" borderId="0" applyAlignment="1" pivotButton="0" quotePrefix="0" xfId="0">
      <alignment horizontal="right" vertical="top"/>
    </xf>
    <xf numFmtId="15" fontId="11" fillId="0" borderId="0" applyAlignment="1" pivotButton="0" quotePrefix="0" xfId="0">
      <alignment wrapText="1"/>
    </xf>
    <xf numFmtId="15" fontId="11" fillId="0" borderId="0" pivotButton="0" quotePrefix="0" xfId="0"/>
    <xf numFmtId="0" fontId="13" fillId="0" borderId="0" applyAlignment="1" pivotButton="0" quotePrefix="0" xfId="1">
      <alignment wrapText="1"/>
    </xf>
    <xf numFmtId="17" fontId="4" fillId="0" borderId="0" applyAlignment="1" pivotButton="0" quotePrefix="0" xfId="0">
      <alignment vertical="top" wrapText="1"/>
    </xf>
    <xf numFmtId="0" fontId="7" fillId="0" borderId="0" applyAlignment="1" pivotButton="0" quotePrefix="0" xfId="0">
      <alignment wrapText="1"/>
    </xf>
    <xf numFmtId="0" fontId="4" fillId="0" borderId="8" pivotButton="0" quotePrefix="0" xfId="0"/>
    <xf numFmtId="0" fontId="4" fillId="0" borderId="7" pivotButton="0" quotePrefix="0" xfId="0"/>
    <xf numFmtId="0" fontId="4" fillId="0" borderId="0" applyAlignment="1" pivotButton="0" quotePrefix="0" xfId="0">
      <alignment wrapText="1"/>
    </xf>
    <xf numFmtId="0" fontId="0" fillId="0" borderId="0" applyAlignment="1" pivotButton="0" quotePrefix="0" xfId="0">
      <alignment wrapText="1"/>
    </xf>
    <xf numFmtId="0" fontId="16" fillId="0" borderId="7" pivotButton="0" quotePrefix="0" xfId="0"/>
    <xf numFmtId="0" fontId="17" fillId="0" borderId="0" pivotButton="0" quotePrefix="0" xfId="0"/>
    <xf numFmtId="0" fontId="20" fillId="7" borderId="0" applyAlignment="1" pivotButton="0" quotePrefix="0" xfId="0">
      <alignment vertical="top" wrapText="1"/>
    </xf>
    <xf numFmtId="0" fontId="19" fillId="7" borderId="15" applyAlignment="1" pivotButton="0" quotePrefix="0" xfId="0">
      <alignment vertical="top" wrapText="1"/>
    </xf>
    <xf numFmtId="0" fontId="20" fillId="7" borderId="0" applyAlignment="1" pivotButton="0" quotePrefix="0" xfId="0">
      <alignment vertical="top"/>
    </xf>
    <xf numFmtId="167" fontId="20" fillId="7" borderId="15" applyAlignment="1" pivotButton="0" quotePrefix="0" xfId="0">
      <alignment vertical="top" wrapText="1"/>
    </xf>
    <xf numFmtId="0" fontId="20" fillId="7" borderId="15" applyAlignment="1" pivotButton="0" quotePrefix="0" xfId="0">
      <alignment vertical="top" wrapText="1"/>
    </xf>
    <xf numFmtId="168" fontId="20" fillId="7" borderId="15" applyAlignment="1" pivotButton="0" quotePrefix="0" xfId="0">
      <alignment vertical="top" wrapText="1"/>
    </xf>
    <xf numFmtId="167" fontId="20" fillId="7" borderId="0" applyAlignment="1" pivotButton="0" quotePrefix="0" xfId="0">
      <alignment wrapText="1"/>
    </xf>
    <xf numFmtId="0" fontId="19" fillId="8" borderId="0" applyAlignment="1" pivotButton="0" quotePrefix="0" xfId="0">
      <alignment vertical="top" wrapText="1"/>
    </xf>
    <xf numFmtId="168" fontId="20" fillId="9" borderId="0" applyAlignment="1" pivotButton="0" quotePrefix="0" xfId="0">
      <alignment vertical="top" wrapText="1"/>
    </xf>
    <xf numFmtId="0" fontId="20" fillId="9" borderId="0" applyAlignment="1" pivotButton="0" quotePrefix="0" xfId="0">
      <alignment vertical="top" wrapText="1"/>
    </xf>
    <xf numFmtId="168" fontId="20" fillId="0" borderId="0" applyAlignment="1" pivotButton="0" quotePrefix="0" xfId="0">
      <alignment vertical="top" wrapText="1"/>
    </xf>
    <xf numFmtId="0" fontId="20" fillId="0" borderId="0" applyAlignment="1" pivotButton="0" quotePrefix="0" xfId="0">
      <alignment vertical="top" wrapText="1"/>
    </xf>
    <xf numFmtId="0" fontId="3" fillId="7" borderId="0" applyAlignment="1" pivotButton="0" quotePrefix="0" xfId="0">
      <alignment wrapText="1"/>
    </xf>
    <xf numFmtId="0" fontId="4" fillId="7" borderId="0" applyAlignment="1" pivotButton="0" quotePrefix="0" xfId="0">
      <alignment wrapText="1"/>
    </xf>
    <xf numFmtId="0" fontId="13" fillId="7" borderId="0" applyAlignment="1" pivotButton="0" quotePrefix="0" xfId="0">
      <alignment wrapText="1"/>
    </xf>
    <xf numFmtId="164" fontId="4" fillId="7" borderId="0" applyAlignment="1" pivotButton="0" quotePrefix="0" xfId="0">
      <alignment vertical="top" wrapText="1"/>
    </xf>
    <xf numFmtId="169" fontId="0" fillId="0" borderId="0" pivotButton="0" quotePrefix="0" xfId="0"/>
    <xf numFmtId="0" fontId="4" fillId="6" borderId="0" pivotButton="0" quotePrefix="0" xfId="0"/>
    <xf numFmtId="0" fontId="0" fillId="0" borderId="0" pivotButton="0" quotePrefix="0" xfId="0"/>
    <xf numFmtId="0" fontId="4" fillId="0" borderId="14" applyAlignment="1" pivotButton="0" quotePrefix="0" xfId="0">
      <alignment horizontal="center" wrapText="1"/>
    </xf>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4" fillId="7" borderId="14" applyAlignment="1" pivotButton="0" quotePrefix="0" xfId="0">
      <alignment horizontal="center" wrapText="1"/>
    </xf>
    <xf numFmtId="0" fontId="1" fillId="2" borderId="0" applyAlignment="1" pivotButton="0" quotePrefix="0" xfId="0">
      <alignment horizontal="center"/>
    </xf>
    <xf numFmtId="0" fontId="8" fillId="0" borderId="0" applyAlignment="1" pivotButton="0" quotePrefix="0" xfId="0">
      <alignment horizontal="center"/>
    </xf>
    <xf numFmtId="0" fontId="16" fillId="0" borderId="7" pivotButton="0" quotePrefix="0" xfId="0"/>
    <xf numFmtId="0" fontId="4" fillId="0" borderId="7" applyAlignment="1" pivotButton="0" quotePrefix="0" xfId="0">
      <alignment wrapText="1"/>
    </xf>
    <xf numFmtId="0" fontId="4" fillId="0" borderId="7" pivotButton="0" quotePrefix="0" xfId="0"/>
    <xf numFmtId="0" fontId="6" fillId="4" borderId="0" applyAlignment="1" pivotButton="0" quotePrefix="0" xfId="0">
      <alignment horizontal="center"/>
    </xf>
    <xf numFmtId="0" fontId="3" fillId="3" borderId="12" applyAlignment="1" pivotButton="0" quotePrefix="0" xfId="0">
      <alignment vertical="center"/>
    </xf>
    <xf numFmtId="0" fontId="0" fillId="0" borderId="8" pivotButton="0" quotePrefix="0" xfId="0"/>
    <xf numFmtId="0" fontId="0" fillId="0" borderId="7" pivotButton="0" quotePrefix="0" xfId="0"/>
    <xf numFmtId="0" fontId="4" fillId="0" borderId="0" applyAlignment="1" pivotButton="0" quotePrefix="0" xfId="0">
      <alignment wrapText="1"/>
    </xf>
    <xf numFmtId="0" fontId="4" fillId="0" borderId="12" applyAlignment="1" pivotButton="0" quotePrefix="0" xfId="0">
      <alignment vertical="top" wrapText="1"/>
    </xf>
    <xf numFmtId="0" fontId="15" fillId="0" borderId="7" applyAlignment="1" pivotButton="0" quotePrefix="0" xfId="1">
      <alignment horizontal="left" vertical="center" wrapText="1"/>
    </xf>
    <xf numFmtId="0" fontId="4" fillId="0" borderId="8" applyAlignment="1" pivotButton="0" quotePrefix="0" xfId="0">
      <alignment wrapText="1"/>
    </xf>
    <xf numFmtId="0" fontId="4" fillId="0" borderId="12" pivotButton="0" quotePrefix="0" xfId="0"/>
    <xf numFmtId="0" fontId="14" fillId="0" borderId="12" applyAlignment="1" pivotButton="0" quotePrefix="0" xfId="0">
      <alignment horizontal="left" wrapText="1"/>
    </xf>
    <xf numFmtId="0" fontId="6" fillId="4" borderId="8" applyAlignment="1" pivotButton="0" quotePrefix="0" xfId="0">
      <alignment horizontal="center"/>
    </xf>
    <xf numFmtId="0" fontId="2" fillId="7" borderId="12" applyAlignment="1" pivotButton="0" quotePrefix="0" xfId="0">
      <alignment vertical="center"/>
    </xf>
    <xf numFmtId="0" fontId="1" fillId="2" borderId="13" applyAlignment="1" pivotButton="0" quotePrefix="0" xfId="0">
      <alignment horizontal="center" vertical="center" wrapText="1"/>
    </xf>
    <xf numFmtId="0" fontId="0" fillId="0" borderId="5" pivotButton="0" quotePrefix="0" xfId="0"/>
    <xf numFmtId="0" fontId="0" fillId="0" borderId="6" pivotButton="0" quotePrefix="0" xfId="0"/>
    <xf numFmtId="0" fontId="18" fillId="0" borderId="12" applyAlignment="1" pivotButton="0" quotePrefix="0" xfId="0">
      <alignment vertical="top" wrapText="1"/>
    </xf>
    <xf numFmtId="0" fontId="2" fillId="5" borderId="11" applyAlignment="1" pivotButton="0" quotePrefix="0" xfId="0">
      <alignment vertical="center" wrapText="1"/>
    </xf>
    <xf numFmtId="0" fontId="0" fillId="0" borderId="9" pivotButton="0" quotePrefix="0" xfId="0"/>
    <xf numFmtId="0" fontId="0" fillId="0" borderId="10" pivotButton="0" quotePrefix="0" xfId="0"/>
    <xf numFmtId="0" fontId="5" fillId="3" borderId="12" applyAlignment="1" pivotButton="0" quotePrefix="0" xfId="0">
      <alignment horizontal="center" vertical="center"/>
    </xf>
    <xf numFmtId="0" fontId="6" fillId="4" borderId="7" applyAlignment="1" pivotButton="0" quotePrefix="0" xfId="0">
      <alignment horizontal="center"/>
    </xf>
    <xf numFmtId="0" fontId="21" fillId="0" borderId="12" applyAlignment="1" pivotButton="0" quotePrefix="0" xfId="0">
      <alignment vertical="center"/>
    </xf>
    <xf numFmtId="0" fontId="2" fillId="0" borderId="11" applyAlignment="1" pivotButton="0" quotePrefix="0" xfId="0">
      <alignment vertical="center" wrapText="1"/>
    </xf>
    <xf numFmtId="0" fontId="3" fillId="0" borderId="0" applyAlignment="1" pivotButton="0" quotePrefix="0" xfId="0">
      <alignment horizontal="center" vertical="center" wrapText="1"/>
    </xf>
    <xf numFmtId="0" fontId="22" fillId="10" borderId="16" applyAlignment="1" pivotButton="0" quotePrefix="0" xfId="0">
      <alignment horizontal="center" vertical="center" wrapText="1"/>
    </xf>
    <xf numFmtId="170" fontId="23" fillId="11" borderId="16" applyAlignment="1" pivotButton="0" quotePrefix="0" xfId="0">
      <alignment vertical="center"/>
    </xf>
    <xf numFmtId="0" fontId="23" fillId="11" borderId="16" applyAlignment="1" pivotButton="0" quotePrefix="0" xfId="0">
      <alignment horizontal="left" vertical="top" wrapText="1"/>
    </xf>
    <xf numFmtId="167" fontId="23" fillId="11" borderId="16" applyAlignment="1" pivotButton="0" quotePrefix="0" xfId="0">
      <alignment vertical="center"/>
    </xf>
    <xf numFmtId="167" fontId="23" fillId="11" borderId="16" applyAlignment="1" pivotButton="0" quotePrefix="0" xfId="0">
      <alignment vertical="center" wrapText="1"/>
    </xf>
    <xf numFmtId="1" fontId="23" fillId="11" borderId="16" applyAlignment="1" pivotButton="0" quotePrefix="0" xfId="0">
      <alignment vertical="center"/>
    </xf>
    <xf numFmtId="0" fontId="23" fillId="11" borderId="16" applyAlignment="1" pivotButton="0" quotePrefix="0" xfId="0">
      <alignment vertical="center"/>
    </xf>
    <xf numFmtId="0" fontId="23" fillId="11" borderId="16" applyAlignment="1" pivotButton="0" quotePrefix="0" xfId="0">
      <alignment vertical="center" wrapText="1"/>
    </xf>
    <xf numFmtId="166" fontId="23" fillId="11" borderId="16" applyAlignment="1" pivotButton="0" quotePrefix="0" xfId="0">
      <alignment vertical="center"/>
    </xf>
    <xf numFmtId="0" fontId="24" fillId="11" borderId="16" applyAlignment="1" pivotButton="0" quotePrefix="0" xfId="1">
      <alignment horizontal="left" vertical="top" wrapText="1"/>
    </xf>
    <xf numFmtId="0" fontId="24" fillId="11" borderId="16" applyAlignment="1" pivotButton="0" quotePrefix="0" xfId="0">
      <alignment horizontal="left" vertical="top" wrapText="1"/>
    </xf>
    <xf numFmtId="165" fontId="23" fillId="11" borderId="16" applyAlignment="1" pivotButton="0" quotePrefix="0" xfId="0">
      <alignment vertical="center"/>
    </xf>
    <xf numFmtId="0" fontId="25" fillId="0" borderId="0" applyAlignment="1" pivotButton="0" quotePrefix="0" xfId="0">
      <alignment vertical="top" wrapText="1"/>
    </xf>
  </cellXfs>
  <cellStyles count="2">
    <cellStyle name="Normal" xfId="0" builtinId="0"/>
    <cellStyle name="Hyperlink" xfId="1" builtinId="8"/>
  </cellStyles>
  <dxfs count="3">
    <dxf>
      <fill>
        <patternFill patternType="solid">
          <fgColor rgb="FFD4EFDF"/>
          <bgColor rgb="FFD4EFDF"/>
        </patternFill>
      </fill>
    </dxf>
    <dxf>
      <fill>
        <patternFill patternType="solid">
          <fgColor rgb="FFF4CCCC"/>
          <bgColor rgb="FFF4CCCC"/>
        </patternFill>
      </fill>
    </dxf>
    <dxf>
      <fill>
        <patternFill patternType="solid">
          <fgColor rgb="FFFFF2CC"/>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lstStyle/>
          <a:p>
            <a:pPr lvl="0">
              <a:defRPr b="0">
                <a:solidFill>
                  <a:schemeClr val="tx1">
                    <a:lumMod val="75000"/>
                    <a:lumOff val="25000"/>
                  </a:schemeClr>
                </a:solidFill>
                <a:latin typeface="Arial"/>
              </a:defRPr>
            </a:pPr>
            <a:r>
              <a:rPr lang="en-US" sz="1200" b="1">
                <a:solidFill>
                  <a:schemeClr val="tx1">
                    <a:lumMod val="75000"/>
                    <a:lumOff val="25000"/>
                  </a:schemeClr>
                </a:solidFill>
                <a:latin typeface="Arial"/>
              </a:rPr>
              <a:t>Composite Realignment Index (1 = Aligned, 2 = Transitional, 3 = Counter; threshold 1.5)</a:t>
            </a:r>
          </a:p>
        </rich>
      </tx>
      <overlay val="0"/>
    </title>
    <plotArea>
      <layout/>
      <lineChart>
        <grouping val="standard"/>
        <varyColors val="1"/>
        <ser>
          <idx val="0"/>
          <order val="0"/>
          <tx>
            <strRef>
              <f>Dashboard!$J$13</f>
              <strCache>
                <ptCount val="1"/>
                <pt idx="0">
                  <v>Realignment Index</v>
                </pt>
              </strCache>
            </strRef>
          </tx>
          <spPr>
            <a:ln cmpd="sng">
              <a:solidFill>
                <a:srgbClr val="4285F4"/>
              </a:solidFill>
              <a:prstDash val="solid"/>
            </a:ln>
          </spPr>
          <marker>
            <symbol val="circle"/>
            <size val="7"/>
            <spPr>
              <a:solidFill>
                <a:srgbClr val="4285F4"/>
              </a:solidFill>
              <a:ln cmpd="sng">
                <a:solidFill>
                  <a:srgbClr val="4285F4"/>
                </a:solidFill>
                <a:prstDash val="solid"/>
              </a:ln>
            </spPr>
          </marker>
          <cat>
            <numRef>
              <f>Dashboard!$A$14:$A$23</f>
              <numCache>
                <formatCode>d\-mmm\-yy</formatCode>
                <ptCount val="10"/>
                <pt idx="0">
                  <v>45366</v>
                </pt>
                <pt idx="1">
                  <v>45458</v>
                </pt>
                <pt idx="2">
                  <v>45550</v>
                </pt>
                <pt idx="3">
                  <v>45641</v>
                </pt>
                <pt idx="4">
                  <v>45731</v>
                </pt>
                <pt idx="5">
                  <v>45823</v>
                </pt>
                <pt idx="6">
                  <v>45915</v>
                </pt>
                <pt idx="7">
                  <v>46006</v>
                </pt>
                <pt idx="8">
                  <formatCode>[$-409]d\-mmm\-yy;@</formatCode>
                  <v>46096</v>
                </pt>
                <pt idx="9">
                  <formatCode>[$-409]d\-mmm\-yy;@</formatCode>
                  <v>46188</v>
                </pt>
              </numCache>
            </numRef>
          </cat>
          <val>
            <numRef>
              <f>Dashboard!$J$14:$J$100</f>
              <numCache>
                <formatCode>General</formatCode>
                <ptCount val="87"/>
                <pt idx="0">
                  <v>2</v>
                </pt>
                <pt idx="1">
                  <v>2</v>
                </pt>
                <pt idx="2">
                  <v>2</v>
                </pt>
                <pt idx="3">
                  <v>2</v>
                </pt>
                <pt idx="4">
                  <v>2</v>
                </pt>
                <pt idx="5">
                  <v>2</v>
                </pt>
                <pt idx="6">
                  <v>2</v>
                </pt>
                <pt idx="7">
                  <v>2</v>
                </pt>
                <pt idx="8">
                  <v>2</v>
                </pt>
                <pt idx="9">
                  <v>2</v>
                </pt>
              </numCache>
            </numRef>
          </val>
          <smooth val="0"/>
        </ser>
        <ser>
          <idx val="1"/>
          <order val="1"/>
          <tx>
            <v>Obsolescence Threshold (Section 6)</v>
          </tx>
          <spPr>
            <a:ln>
              <a:solidFill>
                <a:schemeClr val="accent2"/>
              </a:solidFill>
              <a:prstDash val="sysDot"/>
            </a:ln>
          </spPr>
          <marker>
            <symbol val="none"/>
            <spPr>
              <a:ln>
                <a:prstDash val="solid"/>
              </a:ln>
            </spPr>
          </marker>
          <cat>
            <numRef>
              <f>Dashboard!$A$14:$A$23</f>
              <numCache>
                <formatCode>d\-mmm\-yy</formatCode>
                <ptCount val="10"/>
                <pt idx="0">
                  <v>45366</v>
                </pt>
                <pt idx="1">
                  <v>45458</v>
                </pt>
                <pt idx="2">
                  <v>45550</v>
                </pt>
                <pt idx="3">
                  <v>45641</v>
                </pt>
                <pt idx="4">
                  <v>45731</v>
                </pt>
                <pt idx="5">
                  <v>45823</v>
                </pt>
                <pt idx="6">
                  <v>45915</v>
                </pt>
                <pt idx="7">
                  <v>46006</v>
                </pt>
                <pt idx="8">
                  <formatCode>[$-409]d\-mmm\-yy;@</formatCode>
                  <v>46096</v>
                </pt>
                <pt idx="9">
                  <formatCode>[$-409]d\-mmm\-yy;@</formatCode>
                  <v>46188</v>
                </pt>
              </numCache>
            </numRef>
          </cat>
          <val>
            <numRef>
              <f>Dashboard!$N$14:$N$100</f>
              <numCache>
                <formatCode>General</formatCode>
                <ptCount val="87"/>
                <pt idx="0">
                  <v>1.5</v>
                </pt>
                <pt idx="1">
                  <v>1.5</v>
                </pt>
                <pt idx="2">
                  <v>1.5</v>
                </pt>
                <pt idx="3">
                  <v>1.5</v>
                </pt>
                <pt idx="4">
                  <v>1.5</v>
                </pt>
                <pt idx="5">
                  <v>1.5</v>
                </pt>
                <pt idx="6">
                  <v>1.5</v>
                </pt>
                <pt idx="7">
                  <v>1.5</v>
                </pt>
                <pt idx="8">
                  <v>1.5</v>
                </pt>
                <pt idx="9">
                  <v>1.5</v>
                </pt>
              </numCache>
            </numRef>
          </val>
          <smooth val="0"/>
        </ser>
        <dLbls>
          <showLegendKey val="0"/>
          <showVal val="0"/>
          <showCatName val="0"/>
          <showSerName val="0"/>
          <showPercent val="0"/>
          <showBubbleSize val="0"/>
        </dLbls>
        <marker val="1"/>
        <smooth val="0"/>
        <axId val="1047907822"/>
        <axId val="849226306"/>
      </lineChart>
      <dateAx>
        <axId val="1047907822"/>
        <scaling>
          <orientation val="minMax"/>
        </scaling>
        <delete val="0"/>
        <axPos val="b"/>
        <title>
          <tx>
            <rich>
              <a:bodyPr/>
              <a:lstStyle/>
              <a:p>
                <a:pPr lvl="0">
                  <a:defRPr b="0">
                    <a:solidFill>
                      <a:srgbClr val="000000"/>
                    </a:solidFill>
                    <a:latin typeface="+mn-lt"/>
                  </a:defRPr>
                </a:pPr>
                <a:r>
                  <a:rPr lang="en-US"/>
                  <a:t>None</a:t>
                </a:r>
              </a:p>
            </rich>
          </tx>
          <overlay val="0"/>
        </title>
        <numFmt formatCode="d\-mmm\-yy" sourceLinked="1"/>
        <majorTickMark val="none"/>
        <minorTickMark val="none"/>
        <tickLblPos val="nextTo"/>
        <txPr>
          <a:bodyPr/>
          <a:lstStyle/>
          <a:p>
            <a:pPr lvl="0">
              <a:defRPr b="0">
                <a:solidFill>
                  <a:srgbClr val="000000"/>
                </a:solidFill>
                <a:latin typeface="Arial"/>
              </a:defRPr>
            </a:pPr>
            <a:r>
              <a:t>None</a:t>
            </a:r>
            <a:endParaRPr lang="en-US"/>
          </a:p>
        </txPr>
        <crossAx val="849226306"/>
        <crosses val="autoZero"/>
        <lblOffset val="100"/>
        <baseTimeUnit val="months"/>
        <majorUnit val="3"/>
        <majorTimeUnit val="months"/>
        <minorUnit val="3"/>
        <minorTimeUnit val="months"/>
      </dateAx>
      <valAx>
        <axId val="849226306"/>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lang="en-US"/>
                  <a:t>None</a:t>
                </a:r>
              </a:p>
            </rich>
          </tx>
          <overlay val="0"/>
        </title>
        <numFmt formatCode="General" sourceLinked="1"/>
        <majorTickMark val="none"/>
        <minorTickMark val="none"/>
        <tickLblPos val="nextTo"/>
        <spPr>
          <a:ln>
            <a:solidFill/>
            <a:prstDash val="solid"/>
          </a:ln>
        </spPr>
        <txPr>
          <a:bodyPr/>
          <a:lstStyle/>
          <a:p>
            <a:pPr lvl="0">
              <a:defRPr b="0">
                <a:solidFill>
                  <a:srgbClr val="000000"/>
                </a:solidFill>
                <a:latin typeface="+mn-lt"/>
              </a:defRPr>
            </a:pPr>
            <a:r>
              <a:t>None</a:t>
            </a:r>
            <a:endParaRPr lang="en-US"/>
          </a:p>
        </txPr>
        <crossAx val="1047907822"/>
        <crosses val="autoZero"/>
        <crossBetween val="between"/>
      </valAx>
    </plotArea>
    <legend>
      <legendPos val="r"/>
      <layout>
        <manualLayout>
          <xMode val="edge"/>
          <yMode val="edge"/>
          <wMode val="factor"/>
          <hMode val="factor"/>
          <x val="0.7345035131279334"/>
          <y val="0.335287691539074"/>
          <w val="0.256291678254822"/>
          <h val="0.2458589587127247"/>
        </manualLayout>
      </layout>
      <overlay val="0"/>
      <txPr>
        <a:bodyPr/>
        <a:lstStyle/>
        <a:p>
          <a:pPr lvl="0">
            <a:defRPr b="0">
              <a:solidFill>
                <a:srgbClr val="1A1A1A"/>
              </a:solidFill>
              <a:latin typeface="+mn-lt"/>
            </a:defRPr>
          </a:pPr>
          <a:r>
            <a:t>None</a:t>
          </a:r>
          <a:endParaRPr lang="en-US"/>
        </a:p>
      </txPr>
    </legend>
    <plotVisOnly val="1"/>
    <dispBlanksAs val="zero"/>
  </chart>
  <spPr>
    <a:solidFill>
      <a:schemeClr val="bg1">
        <a:lumMod val="85000"/>
      </a:schemeClr>
    </a:solidFill>
    <a:ln>
      <a:solidFill>
        <a:schemeClr val="tx1">
          <a:tint val="75000"/>
        </a:schemeClr>
      </a:solidFill>
      <a:prstDash val="solid"/>
    </a:ln>
  </spPr>
</chartSpace>
</file>

<file path=xl/comments/comment1.xml><?xml version="1.0" encoding="utf-8"?>
<comments xmlns="http://schemas.openxmlformats.org/spreadsheetml/2006/main">
  <authors>
    <author>Empirical Sentinel</author>
  </authors>
  <commentList>
    <comment ref="G1" authorId="0" shapeId="0">
      <text>
        <t>Gini is NOT a DFA field. Only the Top 1% net-worth share is aligned to FRED WFRBST01134 (Fed Distributional Financial Accounts, net worth) in columns H–K. Gini figures in this column are unchanged from the prior working copy and are retained pending a named primary series.</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50799</colOff>
      <row>0</row>
      <rowOff>21167</rowOff>
    </from>
    <ext cx="8151283" cy="3672416"/>
    <graphicFrame>
      <nvGraphicFramePr>
        <cNvPr id="1" name="Chart 1"/>
        <cNvGraphicFramePr/>
      </nvGraphicFramePr>
      <xfrm/>
      <a:graphic>
        <a:graphicData uri="http://schemas.openxmlformats.org/drawingml/2006/chart">
          <c:chart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pers.ssrn.com/abstract=6332700" TargetMode="External" Id="rId1" /><Relationship Type="http://schemas.openxmlformats.org/officeDocument/2006/relationships/hyperlink" Target="https://papers.ssrn.com/abstract=6355099" TargetMode="External" Id="rId2" /><Relationship Type="http://schemas.openxmlformats.org/officeDocument/2006/relationships/hyperlink" Target="https://papers.ssrn.com/abstract=6368619" TargetMode="External" Id="rId3" /><Relationship Type="http://schemas.openxmlformats.org/officeDocument/2006/relationships/hyperlink" Target="https://1drv.ms/f/c/014eb79003680d95/IgCgOEIykvjoR6HERb5joIY3AdH9lTNrX_6WK9wOzXw_AB8?e=mW2rc6" TargetMode="External" Id="rId4"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hyperlink" Target="https://www.federalreserve.gov/releases/efa/efa-distributional-financial-accounts.htm" TargetMode="External" Id="rId1" /><Relationship Type="http://schemas.openxmlformats.org/officeDocument/2006/relationships/hyperlink" Target="https://fred.stlouisfed.org/series/M2SL" TargetMode="External" Id="rId2" /><Relationship Type="http://schemas.openxmlformats.org/officeDocument/2006/relationships/hyperlink" Target="https://studio.glassnode.com/" TargetMode="External" Id="rId3" /><Relationship Type="http://schemas.openxmlformats.org/officeDocument/2006/relationships/hyperlink" Target="https://www.chainalysis.com/" TargetMode="External" Id="rId4" /><Relationship Type="http://schemas.openxmlformats.org/officeDocument/2006/relationships/hyperlink" Target="https://defillama.com/protocols/lending" TargetMode="External" Id="rId5" /><Relationship Type="http://schemas.openxmlformats.org/officeDocument/2006/relationships/hyperlink" Target="https://papers.ssrn.com/sol3/papers.cfm?abstract_id=6368619" TargetMode="External" Id="rId6" /><Relationship Type="http://schemas.openxmlformats.org/officeDocument/2006/relationships/hyperlink" Target="https://papers.ssrn.com/sol3/papers.cfm?abstract_id=6355099" TargetMode="External" Id="rId7" /><Relationship Type="http://schemas.openxmlformats.org/officeDocument/2006/relationships/hyperlink" Target="https://fred.stlouisfed.org/series/WALCL" TargetMode="External" Id="rId8" /><Relationship Type="http://schemas.openxmlformats.org/officeDocument/2006/relationships/hyperlink" Target="https://fred.stlouisfed.org/series/GDP" TargetMode="External" Id="rId9" /><Relationship Type="http://schemas.openxmlformats.org/officeDocument/2006/relationships/hyperlink" Target="https://fred.stlouisfed.org/series/BOGMBASE" TargetMode="External" Id="rId10" /><Relationship Type="http://schemas.openxmlformats.org/officeDocument/2006/relationships/hyperlink" Target="https://fred.stlouisfed.org/series/WFRBST01134" TargetMode="External" Id="rId11" /></Relationships>
</file>

<file path=xl/worksheets/sheet1.xml><?xml version="1.0" encoding="utf-8"?>
<worksheet xmlns="http://schemas.openxmlformats.org/spreadsheetml/2006/main">
  <sheetPr>
    <outlinePr summaryBelow="0" summaryRight="0"/>
    <pageSetUpPr fitToPage="1"/>
  </sheetPr>
  <dimension ref="A1:H43"/>
  <sheetViews>
    <sheetView topLeftCell="A13" workbookViewId="0">
      <selection activeCell="F38" sqref="F38"/>
    </sheetView>
  </sheetViews>
  <sheetFormatPr baseColWidth="8" defaultColWidth="12.5703125" defaultRowHeight="15.75" customHeight="1"/>
  <cols>
    <col width="18.7109375" customWidth="1" style="58" min="1" max="3"/>
  </cols>
  <sheetData>
    <row r="1" ht="26.25" customHeight="1" s="58">
      <c r="A1" s="82" t="inlineStr">
        <is>
          <t>Realignment Trilogy Appendix Tracking – Quarterly Log Workbook Overview &amp; User Guide</t>
        </is>
      </c>
      <c r="B1" s="83" t="n"/>
      <c r="C1" s="83" t="n"/>
      <c r="D1" s="83" t="n"/>
      <c r="E1" s="83" t="n"/>
      <c r="F1" s="83" t="n"/>
      <c r="G1" s="83" t="n"/>
      <c r="H1" s="84" t="n"/>
    </row>
    <row r="2" ht="26.25" customHeight="1" s="58">
      <c r="A2" s="73" t="n"/>
      <c r="H2" s="72" t="n"/>
    </row>
    <row r="3" ht="12.75" customHeight="1" s="58">
      <c r="A3" s="91" t="inlineStr">
        <is>
          <t>Version: Q2 2026 — Fed-aligned draft 24 August 2026</t>
        </is>
      </c>
      <c r="H3" s="72" t="n"/>
    </row>
    <row r="4" ht="12.75" customHeight="1" s="58">
      <c r="A4" s="71" t="inlineStr">
        <is>
          <t>Purpose of the Workbook</t>
        </is>
      </c>
      <c r="H4" s="72" t="n"/>
    </row>
    <row r="5" ht="12.75" customHeight="1" s="58">
      <c r="A5" s="73" t="n"/>
      <c r="H5" s="72" t="n"/>
    </row>
    <row r="6" ht="72" customHeight="1" s="58">
      <c r="A6" s="75" t="inlineStr">
        <is>
          <t>This eight-tab Excel workbook implements the closed-loop empirical protocol derived from the Realignment Trilogy. It tracks the progressive neutralization of the four fiat mechanisms (fractional-reserve lending, Cantillon effects, K-shaped divergence, and buy-borrow-die incentives) as Bitcoin adoption advances. The four tests (A.1–A.4) directly test the structural obsolescence of Keynesian demand-management tools first demonstrated in the capstone paper. Quarterly updates generate an automatic Realignment Index and visual convergence metrics, allowing any observer to monitor the transition from transitional hybrid regimes to protocol-level dominance.</t>
        </is>
      </c>
      <c r="H6" s="72" t="n"/>
    </row>
    <row r="7" ht="12.75" customHeight="1" s="58">
      <c r="A7" s="89" t="inlineStr">
        <is>
          <t>The Four Tests and Their Correspondence to the Trilogy</t>
        </is>
      </c>
      <c r="H7" s="72" t="n"/>
    </row>
    <row r="8" ht="12.75" customHeight="1" s="58">
      <c r="A8" s="73" t="n"/>
      <c r="H8" s="72" t="n"/>
    </row>
    <row r="9" ht="15" customHeight="1" s="58">
      <c r="A9" s="90" t="inlineStr">
        <is>
          <t>Test</t>
        </is>
      </c>
      <c r="C9" s="70" t="inlineStr">
        <is>
          <t>Paper Linkage</t>
        </is>
      </c>
      <c r="F9" s="80" t="inlineStr">
        <is>
          <t>Core Mechanism Tested</t>
        </is>
      </c>
      <c r="H9" s="72" t="n"/>
    </row>
    <row r="10" ht="44.25" customHeight="1" s="58">
      <c r="A10" s="68" t="inlineStr">
        <is>
          <t>A.1 Praxeological Test</t>
        </is>
      </c>
      <c r="C10" s="74" t="inlineStr">
        <is>
          <t>Section 1 of all three papers</t>
        </is>
      </c>
      <c r="F10" s="77" t="inlineStr">
        <is>
          <t>Liquidity preference and monetary non-neutrality under bearer-asset constraints</t>
        </is>
      </c>
      <c r="H10" s="72" t="n"/>
    </row>
    <row r="11" ht="44.25" customHeight="1" s="58">
      <c r="A11" s="68" t="inlineStr">
        <is>
          <t>A.2 Transmission-Mechanism Metrics</t>
        </is>
      </c>
      <c r="C11" s="74" t="inlineStr">
        <is>
          <t>Section 2 of the Dismantlement Framework &amp; capstone</t>
        </is>
      </c>
      <c r="F11" s="77" t="inlineStr">
        <is>
          <t>Multiplier inoperability and credit-expansion ceiling</t>
        </is>
      </c>
      <c r="H11" s="72" t="n"/>
    </row>
    <row r="12" ht="44.25" customHeight="1" s="58">
      <c r="A12" s="68" t="inlineStr">
        <is>
          <t>A.3 Historical Episode Review</t>
        </is>
      </c>
      <c r="C12" s="74" t="inlineStr">
        <is>
          <t>Section 3 of the capstone</t>
        </is>
      </c>
      <c r="F12" s="77" t="inlineStr">
        <is>
          <t>Loss of discretionary stimulus in hard-money stabilizations</t>
        </is>
      </c>
      <c r="H12" s="72" t="n"/>
    </row>
    <row r="13" ht="44.25" customHeight="1" s="58">
      <c r="A13" s="68" t="inlineStr">
        <is>
          <t>A.4 Forward Metric Tracking</t>
        </is>
      </c>
      <c r="C13" s="74" t="inlineStr">
        <is>
          <t>Section 3 of the Dismantlement Framework &amp; Section 5 of the capstone</t>
        </is>
      </c>
      <c r="F13" s="77" t="inlineStr">
        <is>
          <t>K-divergence mitigation and realignment-cycle convergence</t>
        </is>
      </c>
      <c r="H13" s="72" t="n"/>
    </row>
    <row r="14" ht="12.75" customHeight="1" s="58">
      <c r="A14" s="71" t="inlineStr">
        <is>
          <t>Tab-by-Tab Guide</t>
        </is>
      </c>
      <c r="H14" s="72" t="n"/>
    </row>
    <row r="15" ht="12.75" customHeight="1" s="58">
      <c r="A15" s="73" t="n"/>
      <c r="H15" s="72" t="n"/>
    </row>
    <row r="16" ht="12.75" customHeight="1" s="58">
      <c r="A16" s="78" t="inlineStr">
        <is>
          <t>Tab 1 – Overview | This guide. Contains purpose, test definitions, and usage instructions.</t>
        </is>
      </c>
      <c r="H16" s="72" t="n"/>
    </row>
    <row r="17" ht="12.75" customHeight="1" s="58">
      <c r="A17" s="78" t="inlineStr">
        <is>
          <t>Tab 2 – Dashboard | Visual summary with four status cards, Realignment Index chart, and sparklines. Updates automatically from Tabs 2–5.</t>
        </is>
      </c>
      <c r="H17" s="72" t="n"/>
    </row>
    <row r="18" ht="12.75" customHeight="1" s="58">
      <c r="A18" s="78" t="inlineStr">
        <is>
          <t>Tab 3 – A.1 Praxeological Log | Qualitative deductive reasoning for each quarterly review. Feeds the A.1 status on the Dashboard.</t>
        </is>
      </c>
      <c r="H18" s="72" t="n"/>
    </row>
    <row r="19" ht="12.75" customHeight="1" s="58">
      <c r="A19" s="78" t="inlineStr">
        <is>
          <t>Tab 4 – A.2 Transmission-Mechanism Metrics | Quantitative fiat and Bitcoin lending data. Feeds the A.2 status and sparklines.</t>
        </is>
      </c>
      <c r="H19" s="72" t="n"/>
    </row>
    <row r="20" ht="12.75" customHeight="1" s="58">
      <c r="A20" s="78" t="inlineStr">
        <is>
          <t>Tab 5 – A.3 Historical Episode Review | Fixed historical baseline plus any new studies. Feeds the A.3 status.</t>
        </is>
      </c>
      <c r="H20" s="72" t="n"/>
    </row>
    <row r="21" ht="12.75" customHeight="1" s="58">
      <c r="A21" s="78" t="inlineStr">
        <is>
          <t>Tab 6 – A.4 Forward Metric Tracking | Adoption, self-custody, and wealth-share series. Powers the two Dashboard sparklines.</t>
        </is>
      </c>
      <c r="H21" s="72" t="n"/>
    </row>
    <row r="22" ht="12.75" customHeight="1" s="58">
      <c r="A22" s="78" t="inlineStr">
        <is>
          <t>Tab 7 – Resources | Living list of data sources and SSRN links.</t>
        </is>
      </c>
      <c r="H22" s="72" t="n"/>
    </row>
    <row r="23" ht="12.75" customHeight="1" s="58">
      <c r="A23" s="78" t="inlineStr">
        <is>
          <t>Tab 8 – Schedule &amp; Milestones | Quarterly cadence and conditional formatting. Locks the 24-month testing window (through March 2028).</t>
        </is>
      </c>
      <c r="H23" s="72" t="n"/>
    </row>
    <row r="24" ht="12.75" customHeight="1" s="58">
      <c r="A24" s="71" t="inlineStr">
        <is>
          <t>How to Use and Update the Workbook</t>
        </is>
      </c>
      <c r="H24" s="72" t="n"/>
    </row>
    <row r="25" ht="12.75" customHeight="1" s="58">
      <c r="A25" s="73" t="n"/>
      <c r="H25" s="72" t="n"/>
    </row>
    <row r="26" ht="12.75" customHeight="1" s="58">
      <c r="A26" s="69" t="inlineStr">
        <is>
          <t>1. At each quarterly review (15 Mar, 15 Jun, 15 Sep, 15 Dec) open the Schedule tab and mark the row “In Progress”.</t>
        </is>
      </c>
      <c r="H26" s="34" t="n"/>
    </row>
    <row r="27" ht="12.75" customHeight="1" s="58">
      <c r="A27" s="69" t="inlineStr">
        <is>
          <t>2. Update Tabs 3–6 with the newest data.</t>
        </is>
      </c>
      <c r="H27" s="34" t="n"/>
    </row>
    <row r="28" ht="12.75" customHeight="1" s="58">
      <c r="A28" s="69" t="inlineStr">
        <is>
          <t>3. The Realignment Index in the Dashboard recalculates automatically.</t>
        </is>
      </c>
      <c r="H28" s="34" t="n"/>
    </row>
    <row r="29" ht="12.75" customHeight="1" s="58">
      <c r="A29" s="69" t="inlineStr">
        <is>
          <t>4. Add any new historical insights to Tab 5.</t>
        </is>
      </c>
      <c r="H29" s="34" t="n"/>
    </row>
    <row r="30" ht="12.75" customHeight="1" s="58">
      <c r="A30" s="69" t="inlineStr">
        <is>
          <t>5. Refresh the Dashboard chart and sparklines (they update live).</t>
        </is>
      </c>
      <c r="H30" s="34" t="n"/>
    </row>
    <row r="31" ht="12.75" customHeight="1" s="58">
      <c r="A31" s="69" t="inlineStr">
        <is>
          <t>6. Mark the row in the Schedule tab “Complete” and add a brief note.</t>
        </is>
      </c>
      <c r="H31" s="34" t="n"/>
    </row>
    <row r="32" ht="12.75" customHeight="1" s="58">
      <c r="A32" s="69" t="inlineStr">
        <is>
          <t>7. Export a PDF of the Dashboard for archival purposes (File &gt; Download &gt; PDF).</t>
        </is>
      </c>
      <c r="H32" s="34" t="n"/>
    </row>
    <row r="33" ht="9" customHeight="1" s="58">
      <c r="A33" s="69" t="n"/>
      <c r="H33" s="34" t="n"/>
    </row>
    <row r="34" ht="30.75" customHeight="1" s="58">
      <c r="A34" s="85" t="inlineStr">
        <is>
          <t>Conditional formatting already applied in the Schedule tab turns rows green (Complete), yellow (Scheduled), or orange (In Progress). The sparklines and index chart require no manual adjustment once Tabs 4 and 6 contain data.</t>
        </is>
      </c>
      <c r="H34" s="72" t="n"/>
    </row>
    <row r="35" ht="10.5" customHeight="1" s="58">
      <c r="A35" s="69" t="n"/>
      <c r="H35" s="34" t="n"/>
    </row>
    <row r="36" ht="12.75" customHeight="1" s="58">
      <c r="A36" s="69" t="inlineStr">
        <is>
          <t>Key References (all available on SSRN):</t>
        </is>
      </c>
      <c r="H36" s="34" t="n"/>
    </row>
    <row r="37" ht="16.5" customHeight="1" s="58">
      <c r="A37" s="67" t="inlineStr">
        <is>
          <t>Fiat Stratification Feedback Model (Quinby 2026a)</t>
        </is>
      </c>
      <c r="H37" s="34" t="n"/>
    </row>
    <row r="38" ht="16.5" customHeight="1" s="58">
      <c r="A38" s="67" t="inlineStr">
        <is>
          <t>Bitcoin Dismantlement Framework (Quinby 2026b)</t>
        </is>
      </c>
      <c r="H38" s="34" t="n"/>
    </row>
    <row r="39" ht="16.5" customHeight="1" s="58">
      <c r="A39" s="67" t="inlineStr">
        <is>
          <t>Structural Obsolescence of Keynesian Monetary Policy (Quinby 2026c)</t>
        </is>
      </c>
      <c r="B39" s="39" t="n"/>
      <c r="C39" s="39" t="n"/>
      <c r="H39" s="34" t="n"/>
    </row>
    <row r="40" ht="9" customHeight="1" s="58">
      <c r="A40" s="69" t="n"/>
      <c r="H40" s="34" t="n"/>
    </row>
    <row r="41" ht="18.75" customHeight="1" s="58">
      <c r="A41" s="79" t="inlineStr">
        <is>
          <t>Printable one-page companion document available through the shared folder link below:</t>
        </is>
      </c>
      <c r="H41" s="72" t="n"/>
    </row>
    <row r="42" ht="18.75" customHeight="1" s="58">
      <c r="A42" s="76" t="inlineStr">
        <is>
          <t>Realignment Trilogy Quarterly Log</t>
        </is>
      </c>
      <c r="H42" s="34" t="n"/>
    </row>
    <row r="43" ht="27.75" customHeight="1" s="58">
      <c r="A43" s="92" t="inlineStr">
        <is>
          <t>* This workbook is designed to be shared as-is. Any new user can read this Overview tab, follow the quarterly cadence in Tab 8, and immediately begin producing consistent, mechanism-focused observations that extend the trilogy’s before-and-after analysis.</t>
        </is>
      </c>
      <c r="B43" s="87" t="n"/>
      <c r="C43" s="87" t="n"/>
      <c r="D43" s="87" t="n"/>
      <c r="E43" s="87" t="n"/>
      <c r="F43" s="87" t="n"/>
      <c r="G43" s="87" t="n"/>
      <c r="H43" s="88" t="n"/>
    </row>
  </sheetData>
  <mergeCells count="44">
    <mergeCell ref="A37:C37"/>
    <mergeCell ref="A11:B11"/>
    <mergeCell ref="A27:F27"/>
    <mergeCell ref="C9:E9"/>
    <mergeCell ref="A14:H15"/>
    <mergeCell ref="A26:F26"/>
    <mergeCell ref="C12:E12"/>
    <mergeCell ref="A6:H6"/>
    <mergeCell ref="C11:E11"/>
    <mergeCell ref="A4:H5"/>
    <mergeCell ref="A42:F42"/>
    <mergeCell ref="F13:H13"/>
    <mergeCell ref="A16:H16"/>
    <mergeCell ref="A32:F32"/>
    <mergeCell ref="A41:H41"/>
    <mergeCell ref="F9:H9"/>
    <mergeCell ref="A38:C38"/>
    <mergeCell ref="A29:F29"/>
    <mergeCell ref="A12:B12"/>
    <mergeCell ref="A18:H18"/>
    <mergeCell ref="A3:H3"/>
    <mergeCell ref="A21:H21"/>
    <mergeCell ref="A28:F28"/>
    <mergeCell ref="C13:E13"/>
    <mergeCell ref="A31:F31"/>
    <mergeCell ref="A23:H23"/>
    <mergeCell ref="A30:F30"/>
    <mergeCell ref="A1:H2"/>
    <mergeCell ref="F11:H11"/>
    <mergeCell ref="A22:H22"/>
    <mergeCell ref="A24:H25"/>
    <mergeCell ref="A17:H17"/>
    <mergeCell ref="F10:H10"/>
    <mergeCell ref="C10:E10"/>
    <mergeCell ref="A36:C36"/>
    <mergeCell ref="A43:H43"/>
    <mergeCell ref="A20:H20"/>
    <mergeCell ref="A7:H8"/>
    <mergeCell ref="A10:B10"/>
    <mergeCell ref="A13:B13"/>
    <mergeCell ref="A19:H19"/>
    <mergeCell ref="F12:H12"/>
    <mergeCell ref="A9:B9"/>
    <mergeCell ref="A34:H34"/>
  </mergeCells>
  <hyperlinks>
    <hyperlink xmlns:r="http://schemas.openxmlformats.org/officeDocument/2006/relationships" ref="A37" r:id="rId1"/>
    <hyperlink xmlns:r="http://schemas.openxmlformats.org/officeDocument/2006/relationships" ref="A38" r:id="rId2"/>
    <hyperlink xmlns:r="http://schemas.openxmlformats.org/officeDocument/2006/relationships" ref="A39" r:id="rId3"/>
    <hyperlink xmlns:r="http://schemas.openxmlformats.org/officeDocument/2006/relationships" ref="A42" r:id="rId4"/>
  </hyperlinks>
  <pageMargins left="0.7" right="0.7" top="0.75" bottom="0.75" header="0.3" footer="0.3"/>
  <pageSetup orientation="portrait"/>
</worksheet>
</file>

<file path=xl/worksheets/sheet2.xml><?xml version="1.0" encoding="utf-8"?>
<worksheet xmlns="http://schemas.openxmlformats.org/spreadsheetml/2006/main">
  <sheetPr>
    <outlinePr summaryBelow="0" summaryRight="0"/>
    <pageSetUpPr fitToPage="1"/>
  </sheetPr>
  <dimension ref="A1:N56"/>
  <sheetViews>
    <sheetView tabSelected="1" topLeftCell="A22" zoomScale="90" zoomScaleNormal="90" workbookViewId="0">
      <selection activeCell="L23" sqref="L23"/>
    </sheetView>
  </sheetViews>
  <sheetFormatPr baseColWidth="8" defaultColWidth="12.5703125" defaultRowHeight="15.75" customHeight="1"/>
  <cols>
    <col width="14.85546875" customWidth="1" style="58" min="5" max="5"/>
    <col width="16.7109375" customWidth="1" style="58" min="9" max="9"/>
    <col width="15.7109375" customWidth="1" style="58" min="10" max="10"/>
    <col width="22" customWidth="1" style="58" min="11" max="12"/>
    <col width="26" customWidth="1" style="58" min="12" max="12"/>
  </cols>
  <sheetData>
    <row r="1" ht="23.25" customHeight="1" s="58">
      <c r="A1" s="65" t="inlineStr">
        <is>
          <t>Realignment Trilogy Appendix Dashboard</t>
        </is>
      </c>
      <c r="I1" s="1" t="n"/>
    </row>
    <row r="2" ht="12.75" customHeight="1" s="58">
      <c r="A2" s="57" t="n"/>
      <c r="I2" s="66" t="n"/>
    </row>
    <row r="3" ht="30" customHeight="1" s="58">
      <c r="A3" s="59" t="inlineStr">
        <is>
          <t>A.1 Praxeological Test
Status: Transitional
Key Snapshot: Fiat credit permits ongoing liquidity preference manipulation; Bitcoin bearer constraint isolates time-preference signals to prior savings alone.
Alignment Note: Deductive chain remains intact at protocol level; hybrid regimes continue to constrain full inoperability (on-chain lending volumes expanding under full-reserve discipline).
Link to Log: Tab 3!A1</t>
        </is>
      </c>
      <c r="B3" s="60" t="n"/>
      <c r="C3" s="60" t="n"/>
      <c r="D3" s="61" t="n"/>
      <c r="E3" s="59" t="inlineStr">
        <is>
          <t>A.2 Transmission-Mechanism Metrics
Status: Transitional
Key Snapshot: US M2 $22.8 T with elastic multiplier active; BTC full-reserve lending volumes $85 B (71 % on-chain share).
Alignment Note: Fiat multipliers remain operational; Bitcoin protocol ceiling renders them structurally inoperable, with on-chain volumes confirming full-reserve discipline.
Link to Log: Tab 4!A1</t>
        </is>
      </c>
      <c r="F3" s="60" t="n"/>
      <c r="G3" s="60" t="n"/>
      <c r="H3" s="61" t="n"/>
      <c r="J3" s="12" t="n"/>
    </row>
    <row r="4" ht="30" customHeight="1" s="58">
      <c r="A4" s="62" t="n"/>
      <c r="D4" s="63" t="n"/>
      <c r="E4" s="62" t="n"/>
      <c r="H4" s="63" t="n"/>
      <c r="I4" s="24" t="n"/>
    </row>
    <row r="5" ht="30" customHeight="1" s="58">
      <c r="A5" s="62" t="n"/>
      <c r="D5" s="63" t="n"/>
      <c r="E5" s="62" t="n"/>
      <c r="H5" s="63" t="n"/>
      <c r="I5" s="24" t="n"/>
    </row>
    <row r="6" ht="30" customHeight="1" s="58">
      <c r="A6" s="62" t="n"/>
      <c r="D6" s="63" t="n"/>
      <c r="E6" s="62" t="n"/>
      <c r="H6" s="63" t="n"/>
      <c r="I6" s="25" t="n"/>
    </row>
    <row r="7" ht="12.75" customHeight="1" s="58">
      <c r="A7" s="57" t="n"/>
    </row>
    <row r="8" ht="30" customHeight="1" s="58">
      <c r="A8" s="59" t="inlineStr">
        <is>
          <t>A.3 Historical Episode Review
Status: Transitional (unchanged)
Key Snapshot: German Rentenmark, Hungarian forint, Ecuador dollarization, and pre-1914 gold-standard cases each confirm loss of discretionary tools after stabilization.
Alignment Note: Consistent directional support for neutralization; transitional distributional shifts persist.
Link to Log: Tab 5!A1</t>
        </is>
      </c>
      <c r="B8" s="60" t="n"/>
      <c r="C8" s="60" t="n"/>
      <c r="D8" s="61" t="n"/>
      <c r="E8" s="59" t="inlineStr">
        <is>
          <t>A.4 Forward Metric Tracking
Status: Transitional
Key Snapshot: Top 1 % wealth share 31.6 %; global Bitcoin adoption ~8.8 %, self-custody ratio 50 %.
Alignment Note: Official DFA top-1 % net-worth share increased from 30.3 % (2023:Q4) to 31.6 % (2026:Q1) over the logged window; concentration has not narrowed; realignment cycle strength remaining at 4.
Link to Log: Tab 6!A1</t>
        </is>
      </c>
      <c r="F8" s="60" t="n"/>
      <c r="G8" s="60" t="n"/>
      <c r="H8" s="61" t="n"/>
      <c r="J8" s="12" t="n"/>
    </row>
    <row r="9" ht="30" customHeight="1" s="58">
      <c r="A9" s="62" t="n"/>
      <c r="D9" s="63" t="n"/>
      <c r="E9" s="62" t="n"/>
      <c r="H9" s="63" t="n"/>
    </row>
    <row r="10" ht="30" customHeight="1" s="58">
      <c r="A10" s="62" t="n"/>
      <c r="D10" s="63" t="n"/>
      <c r="E10" s="62" t="n"/>
      <c r="H10" s="63" t="n"/>
    </row>
    <row r="11" ht="30" customHeight="1" s="58">
      <c r="A11" s="62" t="n"/>
      <c r="D11" s="63" t="n"/>
      <c r="E11" s="62" t="n"/>
      <c r="H11" s="63" t="n"/>
    </row>
    <row r="12" ht="23.25" customHeight="1" s="58">
      <c r="A12" s="57" t="n"/>
    </row>
    <row r="13" ht="47.25" customHeight="1" s="58">
      <c r="A13" s="6" t="inlineStr">
        <is>
          <t>Date</t>
        </is>
      </c>
      <c r="B13" s="6" t="inlineStr">
        <is>
          <t>A.1 Status</t>
        </is>
      </c>
      <c r="C13" s="6" t="inlineStr">
        <is>
          <t>A.1 Snapshot</t>
        </is>
      </c>
      <c r="D13" s="6" t="inlineStr">
        <is>
          <t>A.2 Status</t>
        </is>
      </c>
      <c r="E13" s="6" t="inlineStr">
        <is>
          <t>A.2 Snapshot</t>
        </is>
      </c>
      <c r="F13" s="6" t="inlineStr">
        <is>
          <t>A.3 Status</t>
        </is>
      </c>
      <c r="G13" s="6" t="inlineStr">
        <is>
          <t>A.3 Snapshot</t>
        </is>
      </c>
      <c r="H13" s="6" t="inlineStr">
        <is>
          <t>A.4 Status</t>
        </is>
      </c>
      <c r="I13" s="6" t="inlineStr">
        <is>
          <t>A.4 Snapshot</t>
        </is>
      </c>
      <c r="J13" s="6" t="inlineStr">
        <is>
          <t>Realignment Index</t>
        </is>
      </c>
      <c r="K13" s="93" t="inlineStr">
        <is>
          <t>Top-1 % Sparkline</t>
        </is>
      </c>
      <c r="L13" s="93" t="inlineStr">
        <is>
          <t>BTC Self-Custody Sparkline</t>
        </is>
      </c>
      <c r="M13" s="6" t="inlineStr">
        <is>
          <t>Link to Detailed Log</t>
        </is>
      </c>
      <c r="N13" s="6" t="inlineStr">
        <is>
          <t>Target Threshold</t>
        </is>
      </c>
    </row>
    <row r="14" ht="128.25" customHeight="1" s="58">
      <c r="A14" s="30" t="n">
        <v>45366</v>
      </c>
      <c r="B14" s="74" t="inlineStr">
        <is>
          <t>Transitional</t>
        </is>
      </c>
      <c r="C14" s="74" t="inlineStr">
        <is>
          <t>Fiat credit distortion active; Bitcoin sovereignty isolates signals</t>
        </is>
      </c>
      <c r="D14" s="74" t="inlineStr">
        <is>
          <t>Transitional</t>
        </is>
      </c>
      <c r="E14" s="74" t="inlineStr">
        <is>
          <t>Multiplier effects remain fully functional in fiat systems while Bitcoin’s immutable issuance schedule eliminates the very channel.</t>
        </is>
      </c>
      <c r="F14" s="74" t="inlineStr">
        <is>
          <t>Transitional</t>
        </is>
      </c>
      <c r="G14" s="74" t="inlineStr">
        <is>
          <t>Historical stabilizations show tool loss but pain</t>
        </is>
      </c>
      <c r="H14" s="74" t="inlineStr">
        <is>
          <t>Transitional</t>
        </is>
      </c>
      <c r="I14" s="51" t="inlineStr">
        <is>
          <t>Top 1 % at 30.3 %; adoption ~5.3 %; cycle strength 2</t>
        </is>
      </c>
      <c r="J14" s="74">
        <f>ROUND(AVERAGE( IF(B14="Aligned",1,IF(B14="Transitional",2,3)), IF(D14="Aligned",1,IF(D14="Transitional",2,3)), IF(F14="Aligned",1,IF(F14="Transitional",2,3)), IF(H14="Aligned",1,IF(H14="Transitional",2,3)) ),1)</f>
        <v/>
      </c>
      <c r="K14" s="6" t="n"/>
      <c r="L14" s="6" t="n"/>
      <c r="M14" s="6" t="n"/>
      <c r="N14" s="74" t="n">
        <v>1.5</v>
      </c>
    </row>
    <row r="15" ht="90" customHeight="1" s="58">
      <c r="A15" s="30" t="n">
        <v>45458</v>
      </c>
      <c r="B15" s="74" t="inlineStr">
        <is>
          <t>Transitional</t>
        </is>
      </c>
      <c r="C15" s="74" t="inlineStr">
        <is>
          <t>Fiat credit distortion active; Bitcoin sovereignty isolates signals</t>
        </is>
      </c>
      <c r="D15" s="74" t="inlineStr">
        <is>
          <t>Transitional</t>
        </is>
      </c>
      <c r="E15" s="74" t="inlineStr">
        <is>
          <t>Elastic broad-money creation in the fiat layer still enables discretionary liquidity injections.</t>
        </is>
      </c>
      <c r="F15" s="74" t="inlineStr">
        <is>
          <t>Transitional</t>
        </is>
      </c>
      <c r="G15" s="74" t="inlineStr">
        <is>
          <t>Historical stabilizations show tool loss but pain</t>
        </is>
      </c>
      <c r="H15" s="74" t="inlineStr">
        <is>
          <t>Transitional</t>
        </is>
      </c>
      <c r="I15" s="51" t="inlineStr">
        <is>
          <t>Top 1 % at 30.6 %; adoption ~5.8 %; cycle strength 3</t>
        </is>
      </c>
      <c r="J15" s="74">
        <f>ROUND(AVERAGE( IF(B15="Aligned",1,IF(B15="Transitional",2,3)), IF(D15="Aligned",1,IF(D15="Transitional",2,3)), IF(F15="Aligned",1,IF(F15="Transitional",2,3)), IF(H15="Aligned",1,IF(H15="Transitional",2,3)) ),1)</f>
        <v/>
      </c>
      <c r="K15" s="6" t="n"/>
      <c r="L15" s="6" t="n"/>
      <c r="M15" s="6" t="n"/>
      <c r="N15" s="74" t="n">
        <v>1.5</v>
      </c>
    </row>
    <row r="16" ht="77.25" customHeight="1" s="58">
      <c r="A16" s="30" t="n">
        <v>45550</v>
      </c>
      <c r="B16" s="74" t="inlineStr">
        <is>
          <t>Transitional</t>
        </is>
      </c>
      <c r="C16" s="74" t="inlineStr">
        <is>
          <t>Fiat credit distortion active; Bitcoin sovereignty isolates signals</t>
        </is>
      </c>
      <c r="D16" s="74" t="inlineStr">
        <is>
          <t>Transitional</t>
        </is>
      </c>
      <c r="E16" s="74" t="inlineStr">
        <is>
          <t>Fiat multipliers continue to operate through ongoing credit expansion.</t>
        </is>
      </c>
      <c r="F16" s="74" t="inlineStr">
        <is>
          <t>Transitional</t>
        </is>
      </c>
      <c r="G16" s="74" t="inlineStr">
        <is>
          <t>Historical stabilizations show tool loss but pain</t>
        </is>
      </c>
      <c r="H16" s="74" t="inlineStr">
        <is>
          <t>Transitional</t>
        </is>
      </c>
      <c r="I16" s="51" t="inlineStr">
        <is>
          <t>Top 1 % at 30.5 %; adoption ~6.2 %; cycle strength 3</t>
        </is>
      </c>
      <c r="J16" s="74">
        <f>ROUND(AVERAGE( IF(B16="Aligned",1,IF(B16="Transitional",2,3)), IF(D16="Aligned",1,IF(D16="Transitional",2,3)), IF(F16="Aligned",1,IF(F16="Transitional",2,3)), IF(H16="Aligned",1,IF(H16="Transitional",2,3)) ),1)</f>
        <v/>
      </c>
      <c r="K16" s="6" t="n"/>
      <c r="L16" s="6" t="n"/>
      <c r="M16" s="6" t="n"/>
      <c r="N16" s="74" t="n">
        <v>1.5</v>
      </c>
    </row>
    <row r="17" ht="77.25" customHeight="1" s="58">
      <c r="A17" s="30" t="n">
        <v>45641</v>
      </c>
      <c r="B17" s="74" t="inlineStr">
        <is>
          <t>Transitional</t>
        </is>
      </c>
      <c r="C17" s="74" t="inlineStr">
        <is>
          <t>Fiat credit distortion active; Bitcoin sovereignty isolates signals</t>
        </is>
      </c>
      <c r="D17" s="74" t="inlineStr">
        <is>
          <t>Transitional</t>
        </is>
      </c>
      <c r="E17" s="74" t="inlineStr">
        <is>
          <t>Multiplier effects remain fully functional in fiat systems.</t>
        </is>
      </c>
      <c r="F17" s="74" t="inlineStr">
        <is>
          <t>Transitional</t>
        </is>
      </c>
      <c r="G17" s="74" t="inlineStr">
        <is>
          <t>Historical stabilizations show tool loss but pain</t>
        </is>
      </c>
      <c r="H17" s="74" t="inlineStr">
        <is>
          <t>Transitional</t>
        </is>
      </c>
      <c r="I17" s="51" t="inlineStr">
        <is>
          <t>Top 1 % at 30.9 %; adoption ~6.6 %; cycle strength 3</t>
        </is>
      </c>
      <c r="J17" s="74">
        <f>ROUND(AVERAGE( IF(B17="Aligned",1,IF(B17="Transitional",2,3)), IF(D17="Aligned",1,IF(D17="Transitional",2,3)), IF(F17="Aligned",1,IF(F17="Transitional",2,3)), IF(H17="Aligned",1,IF(H17="Transitional",2,3)) ),1)</f>
        <v/>
      </c>
      <c r="K17" s="6" t="n"/>
      <c r="L17" s="6" t="n"/>
      <c r="M17" s="6" t="n"/>
      <c r="N17" s="74" t="n">
        <v>1.5</v>
      </c>
    </row>
    <row r="18" ht="90" customHeight="1" s="58">
      <c r="A18" s="30" t="n">
        <v>45731</v>
      </c>
      <c r="B18" s="74" t="inlineStr">
        <is>
          <t>Transitional</t>
        </is>
      </c>
      <c r="C18" s="74" t="inlineStr">
        <is>
          <t>Fiat credit distortion active; Bitcoin sovereignty isolates signals</t>
        </is>
      </c>
      <c r="D18" s="74" t="inlineStr">
        <is>
          <t>Transitional</t>
        </is>
      </c>
      <c r="E18" s="74" t="inlineStr">
        <is>
          <t>Elastic broad-money creation in the fiat layer still enables discretionary liquidity injections.</t>
        </is>
      </c>
      <c r="F18" s="74" t="inlineStr">
        <is>
          <t>Transitional</t>
        </is>
      </c>
      <c r="G18" s="74" t="inlineStr">
        <is>
          <t>Historical stabilizations show tool loss but pain</t>
        </is>
      </c>
      <c r="H18" s="74" t="inlineStr">
        <is>
          <t>Transitional</t>
        </is>
      </c>
      <c r="I18" s="51" t="inlineStr">
        <is>
          <t>Top 1 % at 31.0 %; adoption ~7.0 %; cycle strength 4</t>
        </is>
      </c>
      <c r="J18" s="74">
        <f>ROUND(AVERAGE( IF(B18="Aligned",1,IF(B18="Transitional",2,3)), IF(D18="Aligned",1,IF(D18="Transitional",2,3)), IF(F18="Aligned",1,IF(F18="Transitional",2,3)), IF(H18="Aligned",1,IF(H18="Transitional",2,3)) ),1)</f>
        <v/>
      </c>
      <c r="K18" s="6" t="n"/>
      <c r="L18" s="6" t="n"/>
      <c r="M18" s="6" t="n"/>
      <c r="N18" s="74" t="n">
        <v>1.5</v>
      </c>
    </row>
    <row r="19" ht="153.75" customHeight="1" s="58">
      <c r="A19" s="30" t="n">
        <v>45823</v>
      </c>
      <c r="B19" s="74" t="inlineStr">
        <is>
          <t>Transitional</t>
        </is>
      </c>
      <c r="C19" s="74" t="inlineStr">
        <is>
          <t>Fiat credit distortion active; Bitcoin sovereignty isolates signals</t>
        </is>
      </c>
      <c r="D19" s="74" t="inlineStr">
        <is>
          <t>Transitional</t>
        </is>
      </c>
      <c r="E19" s="74" t="inlineStr">
        <is>
          <t>Fiat multipliers continue to operate through ongoing credit expansion and forward guidance; Bitcoin protocol ceiling renders them structurally inoperable.</t>
        </is>
      </c>
      <c r="F19" s="74" t="inlineStr">
        <is>
          <t>Transitional</t>
        </is>
      </c>
      <c r="G19" s="74" t="inlineStr">
        <is>
          <t>Historical stabilizations show tool loss but pain</t>
        </is>
      </c>
      <c r="H19" s="74" t="inlineStr">
        <is>
          <t>Transitional</t>
        </is>
      </c>
      <c r="I19" s="51" t="inlineStr">
        <is>
          <t>Top 1 % at 30.9 %; adoption ~7.3 %; cycle strength 4</t>
        </is>
      </c>
      <c r="J19" s="74">
        <f>ROUND(AVERAGE( IF(B19="Aligned",1,IF(B19="Transitional",2,3)), IF(D19="Aligned",1,IF(D19="Transitional",2,3)), IF(F19="Aligned",1,IF(F19="Transitional",2,3)), IF(H19="Aligned",1,IF(H19="Transitional",2,3)) ),1)</f>
        <v/>
      </c>
      <c r="K19" s="6" t="n"/>
      <c r="L19" s="6" t="n"/>
      <c r="M19" s="6" t="n"/>
      <c r="N19" s="74" t="n">
        <v>1.5</v>
      </c>
    </row>
    <row r="20" ht="217.5" customHeight="1" s="58">
      <c r="A20" s="30" t="n">
        <v>45915</v>
      </c>
      <c r="B20" s="74" t="inlineStr">
        <is>
          <t>Transitional</t>
        </is>
      </c>
      <c r="C20" s="74" t="inlineStr">
        <is>
          <t>Fiat credit distortion active; Bitcoin sovereignty isolates signals</t>
        </is>
      </c>
      <c r="D20" s="74" t="inlineStr">
        <is>
          <t>Transitional</t>
        </is>
      </c>
      <c r="E20" s="74" t="inlineStr">
        <is>
          <t>Multiplier effects remain fully functional in fiat systems while Bitcoin’s immutable issuance schedule eliminates the very channel through which Keynesian demand-management tools have historically transmitted.</t>
        </is>
      </c>
      <c r="F20" s="74" t="inlineStr">
        <is>
          <t>Transitional</t>
        </is>
      </c>
      <c r="G20" s="74" t="inlineStr">
        <is>
          <t>Historical stabilizations show tool loss but pain</t>
        </is>
      </c>
      <c r="H20" s="74" t="inlineStr">
        <is>
          <t>Transitional</t>
        </is>
      </c>
      <c r="I20" s="51" t="inlineStr">
        <is>
          <t>Top 1 % at 31.2 %; adoption ~7.6 %; cycle strength 4</t>
        </is>
      </c>
      <c r="J20" s="74">
        <f>ROUND(AVERAGE( IF(B20="Aligned",1,IF(B20="Transitional",2,3)), IF(D20="Aligned",1,IF(D20="Transitional",2,3)), IF(F20="Aligned",1,IF(F20="Transitional",2,3)), IF(H20="Aligned",1,IF(H20="Transitional",2,3)) ),1)</f>
        <v/>
      </c>
      <c r="K20" s="6" t="n"/>
      <c r="L20" s="6" t="n"/>
      <c r="M20" s="6" t="n"/>
      <c r="N20" s="74" t="n">
        <v>1.5</v>
      </c>
    </row>
    <row r="21" ht="227.25" customHeight="1" s="58">
      <c r="A21" s="30" t="n">
        <v>46006</v>
      </c>
      <c r="B21" s="74" t="inlineStr">
        <is>
          <t>Transitional</t>
        </is>
      </c>
      <c r="C21" s="74" t="inlineStr">
        <is>
          <t>Fiat credit distortion active; Bitcoin sovereignty isolates signals</t>
        </is>
      </c>
      <c r="D21" s="74" t="inlineStr">
        <is>
          <t>Transitional</t>
        </is>
      </c>
      <c r="E21" s="74" t="inlineStr">
        <is>
          <t>Elastic broad-money creation in the fiat layer still enables discretionary liquidity injections; on-chain Bitcoin lending volumes expand solely under full-reserve constraints, confirming the structural ceiling.</t>
        </is>
      </c>
      <c r="F21" s="74" t="inlineStr">
        <is>
          <t>Transitional</t>
        </is>
      </c>
      <c r="G21" s="74" t="inlineStr">
        <is>
          <t>Historical stabilizations show tool loss but pain</t>
        </is>
      </c>
      <c r="H21" s="74" t="inlineStr">
        <is>
          <t>Transitional</t>
        </is>
      </c>
      <c r="I21" s="51" t="inlineStr">
        <is>
          <t>Top 1 % at 31.6 %; adoption ~7.9 %; cycle strength 4</t>
        </is>
      </c>
      <c r="J21" s="74">
        <f>ROUND(AVERAGE( IF(B21="Aligned",1,IF(B21="Transitional",2,3)), IF(D21="Aligned",1,IF(D21="Transitional",2,3)), IF(F21="Aligned",1,IF(F21="Transitional",2,3)), IF(H21="Aligned",1,IF(H21="Transitional",2,3)) ),1)</f>
        <v/>
      </c>
      <c r="K21" s="6" t="n"/>
      <c r="L21" s="6" t="n"/>
      <c r="M21" s="6" t="n"/>
      <c r="N21" s="74" t="n">
        <v>1.5</v>
      </c>
    </row>
    <row r="22" ht="204" customHeight="1" s="58">
      <c r="A22" s="19" t="n">
        <v>46096</v>
      </c>
      <c r="B22" s="74" t="inlineStr">
        <is>
          <t>Transitional</t>
        </is>
      </c>
      <c r="C22" s="74" t="inlineStr">
        <is>
          <t>Fiat credit distortion active; Bitcoin sovereignty isolates signals</t>
        </is>
      </c>
      <c r="D22" s="74" t="inlineStr">
        <is>
          <t>Transitional</t>
        </is>
      </c>
      <c r="E22" s="74" t="inlineStr">
        <is>
          <t>Fiat multipliers continue to operate through ongoing credit expansion and forward guidance; Bitcoin’s bearer-asset design and fixed supply cap prevent any protocol-level amplification of liquidity preference shifts.</t>
        </is>
      </c>
      <c r="F22" s="74" t="inlineStr">
        <is>
          <t>Transitional</t>
        </is>
      </c>
      <c r="G22" s="74" t="inlineStr">
        <is>
          <t>Historical stabilizations show tool loss but pain</t>
        </is>
      </c>
      <c r="H22" s="74" t="inlineStr">
        <is>
          <t>Transitional</t>
        </is>
      </c>
      <c r="I22" s="51" t="inlineStr">
        <is>
          <t>Top 1 % at 31.8 %; adoption ~8.4 %; cycle strength 4</t>
        </is>
      </c>
      <c r="J22" s="74">
        <f>ROUND(AVERAGE( IF(B22="Aligned",1,IF(B22="Transitional",2,3)), IF(D22="Aligned",1,IF(D22="Transitional",2,3)), IF(F22="Aligned",1,IF(F22="Transitional",2,3)), IF(H22="Aligned",1,IF(H22="Transitional",2,3)) ),1)</f>
        <v/>
      </c>
      <c r="M22" s="37" t="n"/>
      <c r="N22" s="74" t="n">
        <v>1.5</v>
      </c>
    </row>
    <row r="23" ht="262.5" customHeight="1" s="58">
      <c r="A23" s="19" t="n">
        <v>46188</v>
      </c>
      <c r="B23" s="74" t="inlineStr">
        <is>
          <t>Transitional</t>
        </is>
      </c>
      <c r="C23" s="74" t="inlineStr">
        <is>
          <t>Fiat credit distortion active; Bitcoin sovereignty isolates signals to prior savings alone.</t>
        </is>
      </c>
      <c r="D23" s="74" t="inlineStr">
        <is>
          <t>Transitional</t>
        </is>
      </c>
      <c r="E23" s="74" t="inlineStr">
        <is>
          <t>Fiat multipliers continue to operate through ongoing credit expansion and forward guidance; Bitcoin’s bearer-asset design and fixed supply cap prevent any protocol-level amplification of liquidity preference shifts, with on-chain volumes confirming full-reserve discipline.</t>
        </is>
      </c>
      <c r="F23" s="74" t="inlineStr">
        <is>
          <t>Transitional</t>
        </is>
      </c>
      <c r="G23" s="74" t="inlineStr">
        <is>
          <t>Historical stabilizations show tool loss but pain</t>
        </is>
      </c>
      <c r="H23" s="74" t="inlineStr">
        <is>
          <t>Transitional</t>
        </is>
      </c>
      <c r="I23" s="51" t="inlineStr">
        <is>
          <t>Top 1 % at 31.6 %; adoption ~8.8 %; cycle strength 4</t>
        </is>
      </c>
      <c r="J23" s="74">
        <f>ROUND(AVERAGE(IF(B23="Aligned",1,IF(B23="Transitional",2,3)),IF(D23="Aligned",1,IF(D23="Transitional",2,3)),IF(F23="Aligned",1,IF(F23="Transitional",2,3)),IF(H23="Aligned",1,IF(H23="Transitional",2,3))),1)</f>
        <v/>
      </c>
      <c r="K23" s="21" t="n"/>
      <c r="L23" s="22" t="n"/>
      <c r="M23" s="37" t="n"/>
      <c r="N23" s="74" t="n">
        <v>1.5</v>
      </c>
    </row>
    <row r="24" ht="12.75" customHeight="1" s="58">
      <c r="A24" s="19" t="n"/>
      <c r="B24" s="13" t="n"/>
      <c r="C24" s="13" t="n"/>
      <c r="D24" s="13" t="n"/>
      <c r="E24" s="13" t="n"/>
      <c r="F24" s="13" t="n"/>
      <c r="G24" s="13" t="n"/>
      <c r="H24" s="13" t="n"/>
      <c r="I24" s="13" t="n"/>
      <c r="J24" s="74" t="n"/>
      <c r="K24" s="21" t="n"/>
      <c r="L24" s="22" t="n"/>
      <c r="M24" s="37" t="n"/>
      <c r="N24" s="37" t="n"/>
    </row>
    <row r="25" ht="12.75" customHeight="1" s="58">
      <c r="A25" s="19" t="n"/>
      <c r="B25" s="37" t="n"/>
      <c r="C25" s="37" t="n"/>
      <c r="D25" s="37" t="n"/>
      <c r="E25" s="37" t="n"/>
      <c r="F25" s="37" t="n"/>
      <c r="G25" s="37" t="n"/>
      <c r="H25" s="37" t="n"/>
      <c r="I25" s="37" t="n"/>
      <c r="J25" s="74" t="n"/>
      <c r="K25" s="21" t="n"/>
      <c r="L25" s="22" t="n"/>
      <c r="M25" s="37" t="n"/>
      <c r="N25" s="37" t="n"/>
    </row>
    <row r="26" ht="12.75" customHeight="1" s="58">
      <c r="A26" s="19" t="n"/>
      <c r="B26" s="37" t="n"/>
      <c r="C26" s="37" t="n"/>
      <c r="D26" s="37" t="n"/>
      <c r="E26" s="37" t="n"/>
      <c r="F26" s="37" t="n"/>
      <c r="G26" s="37" t="n"/>
      <c r="H26" s="37" t="n"/>
      <c r="I26" s="37" t="n"/>
      <c r="J26" s="74" t="n"/>
      <c r="K26" s="21" t="n"/>
      <c r="L26" s="22" t="n"/>
      <c r="M26" s="37" t="n"/>
      <c r="N26" s="37" t="n"/>
    </row>
    <row r="27" ht="12.75" customHeight="1" s="58">
      <c r="A27" s="19" t="n"/>
      <c r="B27" s="37" t="n"/>
      <c r="C27" s="37" t="n"/>
      <c r="D27" s="37" t="n"/>
      <c r="E27" s="37" t="n"/>
      <c r="F27" s="37" t="n"/>
      <c r="G27" s="37" t="n"/>
      <c r="H27" s="37" t="n"/>
      <c r="I27" s="37" t="n"/>
      <c r="J27" s="74" t="n"/>
      <c r="K27" s="21" t="n"/>
      <c r="L27" s="22" t="n"/>
      <c r="M27" s="37" t="n"/>
      <c r="N27" s="37" t="n"/>
    </row>
    <row r="28" ht="12.75" customHeight="1" s="58">
      <c r="A28" s="19" t="n"/>
      <c r="B28" s="37" t="n"/>
      <c r="C28" s="37" t="n"/>
      <c r="D28" s="37" t="n"/>
      <c r="E28" s="37" t="n"/>
      <c r="F28" s="37" t="n"/>
      <c r="G28" s="37" t="n"/>
      <c r="H28" s="37" t="n"/>
      <c r="I28" s="37" t="n"/>
      <c r="J28" s="74" t="n"/>
      <c r="K28" s="21" t="n"/>
      <c r="L28" s="22" t="n"/>
      <c r="M28" s="37" t="n"/>
      <c r="N28" s="37" t="n"/>
    </row>
    <row r="29" ht="12.75" customHeight="1" s="58">
      <c r="A29" s="20" t="n"/>
      <c r="J29" s="74" t="n"/>
      <c r="K29" s="23" t="n"/>
      <c r="L29" s="23" t="n"/>
    </row>
    <row r="30" ht="12.75" customHeight="1" s="58">
      <c r="A30" s="20" t="n"/>
      <c r="J30" s="74" t="n"/>
      <c r="K30" s="23" t="n"/>
      <c r="L30" s="23" t="n"/>
    </row>
    <row r="31" ht="12.75" customHeight="1" s="58">
      <c r="A31" s="20" t="n"/>
      <c r="K31" s="23" t="n"/>
      <c r="L31" s="23" t="n"/>
    </row>
    <row r="32" ht="12.75" customHeight="1" s="58">
      <c r="A32" s="20" t="n"/>
      <c r="K32" s="23" t="n"/>
      <c r="L32" s="23" t="n"/>
    </row>
    <row r="33" ht="12.75" customHeight="1" s="58">
      <c r="A33" s="20" t="n"/>
      <c r="K33" s="23" t="n"/>
      <c r="L33" s="23" t="n"/>
    </row>
    <row r="34" ht="12.75" customHeight="1" s="58">
      <c r="A34" s="20" t="n"/>
      <c r="K34" s="23" t="n"/>
      <c r="L34" s="23" t="n"/>
    </row>
    <row r="35" ht="12.75" customHeight="1" s="58">
      <c r="A35" s="20" t="n"/>
      <c r="K35" s="23" t="n"/>
      <c r="L35" s="23" t="n"/>
    </row>
    <row r="36" ht="12.75" customHeight="1" s="58">
      <c r="A36" s="20" t="n"/>
      <c r="K36" s="23" t="n"/>
      <c r="L36" s="23" t="n"/>
    </row>
    <row r="37" ht="12.75" customHeight="1" s="58">
      <c r="A37" s="20" t="n"/>
      <c r="K37" s="23" t="n"/>
      <c r="L37" s="23" t="n"/>
    </row>
    <row r="38" ht="12.75" customHeight="1" s="58">
      <c r="A38" s="20" t="n"/>
      <c r="K38" s="23" t="n"/>
      <c r="L38" s="23" t="n"/>
    </row>
    <row r="39" ht="12.75" customHeight="1" s="58">
      <c r="A39" s="2" t="n"/>
    </row>
    <row r="40" ht="12.75" customHeight="1" s="58">
      <c r="A40" s="2" t="n"/>
    </row>
    <row r="41" ht="12.75" customHeight="1" s="58">
      <c r="A41" s="2" t="n"/>
    </row>
    <row r="42" ht="12.75" customHeight="1" s="58">
      <c r="A42" s="2" t="n"/>
    </row>
    <row r="43" ht="12.75" customHeight="1" s="58">
      <c r="A43" s="2" t="n"/>
    </row>
    <row r="44" ht="12.75" customHeight="1" s="58">
      <c r="A44" s="2" t="n"/>
    </row>
    <row r="45" ht="12.75" customHeight="1" s="58">
      <c r="A45" s="2" t="n"/>
    </row>
    <row r="46" ht="12.75" customHeight="1" s="58">
      <c r="A46" s="2" t="n"/>
    </row>
    <row r="47" ht="12.75" customHeight="1" s="58">
      <c r="A47" s="2" t="n"/>
    </row>
    <row r="48" ht="12.75" customHeight="1" s="58">
      <c r="A48" s="2" t="n"/>
    </row>
    <row r="49" ht="12.75" customHeight="1" s="58">
      <c r="A49" s="2" t="n"/>
    </row>
    <row r="50" ht="12.75" customHeight="1" s="58">
      <c r="A50" s="2" t="n"/>
    </row>
    <row r="51" ht="12.75" customHeight="1" s="58">
      <c r="A51" s="2" t="n"/>
    </row>
    <row r="52" ht="12.75" customHeight="1" s="58">
      <c r="A52" s="2" t="n"/>
    </row>
    <row r="53" ht="12.75" customHeight="1" s="58">
      <c r="A53" s="2" t="n"/>
    </row>
    <row r="54" ht="12.75" customHeight="1" s="58">
      <c r="A54" s="2" t="n"/>
    </row>
    <row r="55" ht="12.75" customHeight="1" s="58">
      <c r="A55" s="2" t="n"/>
    </row>
    <row r="56" ht="12.75" customHeight="1" s="58">
      <c r="A56" s="2" t="n"/>
    </row>
  </sheetData>
  <mergeCells count="9">
    <mergeCell ref="A12:H12"/>
    <mergeCell ref="A7:H7"/>
    <mergeCell ref="A2:H2"/>
    <mergeCell ref="A8:D11"/>
    <mergeCell ref="A3:D6"/>
    <mergeCell ref="E8:H11"/>
    <mergeCell ref="E3:H6"/>
    <mergeCell ref="A1:H1"/>
    <mergeCell ref="I2:I3"/>
  </mergeCells>
  <dataValidations count="1">
    <dataValidation sqref="B14:B38 D14:D38 F14:F38 H14:H38" showDropDown="0" showInputMessage="1" showErrorMessage="1" allowBlank="1" type="list">
      <formula1>"Transitional,Aligned,Counter"</formula1>
    </dataValidation>
  </dataValidations>
  <pageMargins left="0.7" right="0.7" top="0.75" bottom="0.75" header="0.3" footer="0.3"/>
  <pageSetup orientation="landscape" scale="27"/>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A1:F1001"/>
  <sheetViews>
    <sheetView showGridLines="1" workbookViewId="0">
      <pane ySplit="1" topLeftCell="A2" activePane="bottomLeft" state="frozen"/>
      <selection pane="bottomLeft" activeCell="A4" sqref="A4:XFD4"/>
    </sheetView>
  </sheetViews>
  <sheetFormatPr baseColWidth="8" defaultColWidth="12.5703125" defaultRowHeight="15.75" customHeight="1"/>
  <cols>
    <col width="14" customWidth="1" style="58" min="1" max="1"/>
    <col width="48" customWidth="1" style="58" min="2" max="6"/>
    <col width="42" customWidth="1" style="58" min="3" max="3"/>
    <col width="42" customWidth="1" style="58" min="4" max="4"/>
    <col width="38" customWidth="1" style="58" min="5" max="5"/>
    <col width="38" customWidth="1" style="58" min="6" max="6"/>
  </cols>
  <sheetData>
    <row r="1" ht="32" customHeight="1" s="58">
      <c r="A1" s="94" t="inlineStr">
        <is>
          <t>Date</t>
        </is>
      </c>
      <c r="B1" s="94" t="inlineStr">
        <is>
          <t>Deductive Chain Summary</t>
        </is>
      </c>
      <c r="C1" s="94" t="inlineStr">
        <is>
          <t>Fiat Distortion Example (current event)</t>
        </is>
      </c>
      <c r="D1" s="94" t="inlineStr">
        <is>
          <t>Bitcoin Counter-Example (on-chain observation)</t>
        </is>
      </c>
      <c r="E1" s="94" t="inlineStr">
        <is>
          <t>Alignment Note</t>
        </is>
      </c>
      <c r="F1" s="94" t="inlineStr">
        <is>
          <t>Source Citation</t>
        </is>
      </c>
    </row>
    <row r="2" ht="72" customHeight="1" s="58">
      <c r="A2" s="95" t="n">
        <v>45366</v>
      </c>
      <c r="B2" s="96" t="inlineStr">
        <is>
          <t>In a fiat system with elastic credit creation, new purchasing power enters via privileged channels, distorting relative prices and time-preference signals before wages can adjust. In a Bitcoin protocol with a 21-million-unit cap and bearer-asset design, lending requires outright transfer of private-key control (100 % reserves), restoring undistorted time preference and voluntary savings-based allocation.</t>
        </is>
      </c>
      <c r="C2" s="96" t="inlineStr">
        <is>
          <t>Fed balance sheet near 27 % of GDP; ongoing M2 expansion and interest-rate guidance remain available to central authorities.</t>
        </is>
      </c>
      <c r="D2" s="96" t="inlineStr">
        <is>
          <t>On-chain lending protocols report exclusively full-reserve transfers; no new units created against deposits.</t>
        </is>
      </c>
      <c r="E2" s="96" t="inlineStr">
        <is>
          <t>Deductive chain holds at protocol level; hybrid regimes constrain full inoperability of Keynesian liquidity preference tools.</t>
        </is>
      </c>
      <c r="F2" s="96" t="inlineStr">
        <is>
          <t>Glassnode Q1 2024 report; Fed DFA Mar 2024; Ammous (2018) reference retained from Dismantlement Framework Section 1.1.</t>
        </is>
      </c>
    </row>
    <row r="3" ht="72" customHeight="1" s="58">
      <c r="A3" s="95" t="n">
        <v>46096</v>
      </c>
      <c r="B3" s="96" t="inlineStr">
        <is>
          <t>In a fiat system with elastic credit creation, new purchasing power enters via privileged channels, distorting relative prices and time-preference signals before wages can adjust. In a Bitcoin protocol with a 21-million-unit cap and bearer-asset design, lending requires outright transfer of private-key control (100 % reserves), restoring undistorted time preference and voluntary savings-based allocation.</t>
        </is>
      </c>
      <c r="C3" s="96" t="inlineStr">
        <is>
          <t>Fed balance sheet still ~22 % of GDP; ongoing M2 expansion and interest-rate guidance remain available to central authorities.</t>
        </is>
      </c>
      <c r="D3" s="96" t="inlineStr">
        <is>
          <t>On-chain lending protocols (e.g., Aave, Compound on Bitcoin) report full-reserve transfers only; no new units created against deposits.</t>
        </is>
      </c>
      <c r="E3" s="96" t="inlineStr">
        <is>
          <t>Deductive chain holds at protocol level; hybrid regimes continue to constrain full inoperability of Keynesian liquidity preference tools.</t>
        </is>
      </c>
      <c r="F3" s="96" t="inlineStr">
        <is>
          <t>Glassnode Q1 2026 report; Fed DFA release Jan 2026; Ammous (2018) reference retained from Dismantlement Framework Section 1.1.</t>
        </is>
      </c>
    </row>
    <row r="4" ht="72" customHeight="1" s="58">
      <c r="A4" s="95" t="n">
        <v>46188</v>
      </c>
      <c r="B4" s="96" t="inlineStr">
        <is>
          <t>In a fiat system with elastic credit creation, new purchasing power enters via privileged channels, distorting relative prices and time-preference signals before wages can adjust. In a Bitcoin protocol with a 21-million-unit cap and bearer-asset design, lending requires outright transfer of private-key control (100 % reserves), restoring undistorted time preference and voluntary savings-based allocation.</t>
        </is>
      </c>
      <c r="C4" s="96" t="inlineStr">
        <is>
          <t>Fed balance sheet near 21.8 % of GDP; M2 expansion reaches $22.8 T with interest-rate guidance remaining available to central authorities.</t>
        </is>
      </c>
      <c r="D4" s="96" t="inlineStr">
        <is>
          <t>On-chain lending protocols report full-reserve transfers only; volumes reach $85 B with 71 % on-chain share, confirming no ex nihilo credit creation.</t>
        </is>
      </c>
      <c r="E4" s="96" t="inlineStr">
        <is>
          <t>Deductive chain holds at protocol level; hybrid regimes continue to constrain full inoperability of Keynesian liquidity preference tools.</t>
        </is>
      </c>
      <c r="F4" s="96" t="inlineStr">
        <is>
          <t>Glassnode Q2 2026 report; Fed DFA June 2026 release; Ammous (2018) reference retained from Dismantlement Framework Section 1.1.</t>
        </is>
      </c>
    </row>
    <row r="5" ht="12.75" customHeight="1" s="58">
      <c r="A5" s="10" t="n"/>
      <c r="B5" s="5" t="n"/>
      <c r="C5" s="5" t="n"/>
      <c r="D5" s="5" t="n"/>
      <c r="E5" s="5" t="n"/>
      <c r="F5" s="5" t="n"/>
    </row>
    <row r="6" ht="12.75" customHeight="1" s="58">
      <c r="A6" s="10" t="n"/>
      <c r="B6" s="5" t="n"/>
      <c r="C6" s="5" t="n"/>
      <c r="D6" s="5" t="n"/>
      <c r="E6" s="5" t="n"/>
      <c r="F6" s="5" t="n"/>
    </row>
    <row r="7" ht="12.75" customHeight="1" s="58">
      <c r="A7" s="10" t="n"/>
      <c r="B7" s="5" t="n"/>
      <c r="C7" s="5" t="n"/>
      <c r="D7" s="5" t="n"/>
      <c r="E7" s="5" t="n"/>
      <c r="F7" s="5" t="n"/>
    </row>
    <row r="8" ht="12.75" customHeight="1" s="58">
      <c r="A8" s="10" t="n"/>
      <c r="B8" s="5" t="n"/>
      <c r="C8" s="5" t="n"/>
      <c r="D8" s="5" t="n"/>
      <c r="E8" s="5" t="n"/>
      <c r="F8" s="5" t="n"/>
    </row>
    <row r="9" ht="12.75" customHeight="1" s="58">
      <c r="A9" s="10" t="n"/>
      <c r="B9" s="5" t="n"/>
      <c r="C9" s="5" t="n"/>
      <c r="D9" s="5" t="n"/>
      <c r="E9" s="5" t="n"/>
      <c r="F9" s="5" t="n"/>
    </row>
    <row r="10" ht="12.75" customHeight="1" s="58">
      <c r="A10" s="10" t="n"/>
      <c r="B10" s="5" t="n"/>
      <c r="C10" s="5" t="n"/>
      <c r="D10" s="5" t="n"/>
      <c r="E10" s="5" t="n"/>
      <c r="F10" s="5" t="n"/>
    </row>
    <row r="11" ht="12.75" customHeight="1" s="58">
      <c r="A11" s="10" t="n"/>
      <c r="B11" s="5" t="n"/>
      <c r="C11" s="5" t="n"/>
      <c r="D11" s="5" t="n"/>
      <c r="E11" s="5" t="n"/>
      <c r="F11" s="5" t="n"/>
    </row>
    <row r="12" ht="12.75" customHeight="1" s="58">
      <c r="A12" s="74" t="n"/>
      <c r="B12" s="74" t="n"/>
      <c r="C12" s="74" t="n"/>
      <c r="D12" s="74" t="n"/>
      <c r="E12" s="74" t="n"/>
      <c r="F12" s="74" t="n"/>
    </row>
    <row r="13" ht="12.75" customHeight="1" s="58">
      <c r="A13" s="74" t="n"/>
      <c r="B13" s="74" t="n"/>
      <c r="C13" s="74" t="n"/>
      <c r="D13" s="74" t="n"/>
      <c r="E13" s="74" t="n"/>
      <c r="F13" s="74" t="n"/>
    </row>
    <row r="14" ht="12.75" customHeight="1" s="58">
      <c r="A14" s="74" t="n"/>
      <c r="B14" s="74" t="n"/>
      <c r="C14" s="74" t="n"/>
      <c r="D14" s="74" t="n"/>
      <c r="E14" s="74" t="n"/>
      <c r="F14" s="74" t="n"/>
    </row>
    <row r="15" ht="12.75" customHeight="1" s="58">
      <c r="A15" s="74" t="n"/>
      <c r="B15" s="74" t="n"/>
      <c r="C15" s="74" t="n"/>
      <c r="D15" s="74" t="n"/>
      <c r="E15" s="74" t="n"/>
      <c r="F15" s="74" t="n"/>
    </row>
    <row r="16" ht="12.75" customHeight="1" s="58">
      <c r="A16" s="74" t="n"/>
      <c r="B16" s="74" t="n"/>
      <c r="C16" s="74" t="n"/>
      <c r="D16" s="74" t="n"/>
      <c r="E16" s="74" t="n"/>
      <c r="F16" s="74" t="n"/>
    </row>
    <row r="17" ht="12.75" customHeight="1" s="58">
      <c r="A17" s="74" t="n"/>
      <c r="B17" s="74" t="n"/>
      <c r="C17" s="74" t="n"/>
      <c r="D17" s="74" t="n"/>
      <c r="E17" s="74" t="n"/>
      <c r="F17" s="74" t="n"/>
    </row>
    <row r="18" ht="12.75" customHeight="1" s="58">
      <c r="A18" s="74" t="n"/>
      <c r="B18" s="74" t="n"/>
      <c r="C18" s="74" t="n"/>
      <c r="D18" s="74" t="n"/>
      <c r="E18" s="74" t="n"/>
      <c r="F18" s="74" t="n"/>
    </row>
    <row r="19" ht="12.75" customHeight="1" s="58">
      <c r="A19" s="74" t="n"/>
      <c r="B19" s="74" t="n"/>
      <c r="C19" s="74" t="n"/>
      <c r="D19" s="74" t="n"/>
      <c r="E19" s="74" t="n"/>
      <c r="F19" s="74" t="n"/>
    </row>
    <row r="20" ht="12.75" customHeight="1" s="58">
      <c r="A20" s="74" t="n"/>
      <c r="B20" s="74" t="n"/>
      <c r="C20" s="74" t="n"/>
      <c r="D20" s="74" t="n"/>
      <c r="E20" s="74" t="n"/>
      <c r="F20" s="74" t="n"/>
    </row>
    <row r="21" ht="12.75" customHeight="1" s="58">
      <c r="A21" s="74" t="n"/>
      <c r="B21" s="74" t="n"/>
      <c r="C21" s="74" t="n"/>
      <c r="D21" s="74" t="n"/>
      <c r="E21" s="74" t="n"/>
      <c r="F21" s="74" t="n"/>
    </row>
    <row r="22" ht="12.75" customHeight="1" s="58">
      <c r="A22" s="74" t="n"/>
      <c r="B22" s="74" t="n"/>
      <c r="C22" s="74" t="n"/>
      <c r="D22" s="74" t="n"/>
      <c r="E22" s="74" t="n"/>
      <c r="F22" s="74" t="n"/>
    </row>
    <row r="23" ht="12.75" customHeight="1" s="58">
      <c r="A23" s="74" t="n"/>
      <c r="B23" s="74" t="n"/>
      <c r="C23" s="74" t="n"/>
      <c r="D23" s="74" t="n"/>
      <c r="E23" s="74" t="n"/>
      <c r="F23" s="74" t="n"/>
    </row>
    <row r="24" ht="12.75" customHeight="1" s="58">
      <c r="A24" s="74" t="n"/>
      <c r="B24" s="74" t="n"/>
      <c r="C24" s="74" t="n"/>
      <c r="D24" s="74" t="n"/>
      <c r="E24" s="74" t="n"/>
      <c r="F24" s="74" t="n"/>
    </row>
    <row r="25" ht="12.75" customHeight="1" s="58">
      <c r="A25" s="74" t="n"/>
      <c r="B25" s="74" t="n"/>
      <c r="C25" s="74" t="n"/>
      <c r="D25" s="74" t="n"/>
      <c r="E25" s="74" t="n"/>
      <c r="F25" s="74" t="n"/>
    </row>
    <row r="26" ht="12.75" customHeight="1" s="58">
      <c r="A26" s="74" t="n"/>
      <c r="B26" s="74" t="n"/>
      <c r="C26" s="74" t="n"/>
      <c r="D26" s="74" t="n"/>
      <c r="E26" s="74" t="n"/>
      <c r="F26" s="74" t="n"/>
    </row>
    <row r="27" ht="12.75" customHeight="1" s="58">
      <c r="A27" s="74" t="n"/>
      <c r="B27" s="74" t="n"/>
      <c r="C27" s="74" t="n"/>
      <c r="D27" s="74" t="n"/>
      <c r="E27" s="74" t="n"/>
      <c r="F27" s="74" t="n"/>
    </row>
    <row r="28" ht="12.75" customHeight="1" s="58">
      <c r="A28" s="74" t="n"/>
      <c r="B28" s="74" t="n"/>
      <c r="C28" s="74" t="n"/>
      <c r="D28" s="74" t="n"/>
      <c r="E28" s="74" t="n"/>
      <c r="F28" s="74" t="n"/>
    </row>
    <row r="29" ht="12.75" customHeight="1" s="58">
      <c r="A29" s="74" t="n"/>
      <c r="B29" s="74" t="n"/>
      <c r="C29" s="74" t="n"/>
      <c r="D29" s="74" t="n"/>
      <c r="E29" s="74" t="n"/>
      <c r="F29" s="74" t="n"/>
    </row>
    <row r="30" ht="12.75" customHeight="1" s="58">
      <c r="A30" s="74" t="n"/>
      <c r="B30" s="74" t="n"/>
      <c r="C30" s="74" t="n"/>
      <c r="D30" s="74" t="n"/>
      <c r="E30" s="74" t="n"/>
      <c r="F30" s="74" t="n"/>
    </row>
    <row r="31" ht="12.75" customHeight="1" s="58">
      <c r="A31" s="74" t="n"/>
      <c r="B31" s="74" t="n"/>
      <c r="C31" s="74" t="n"/>
      <c r="D31" s="74" t="n"/>
      <c r="E31" s="74" t="n"/>
      <c r="F31" s="74" t="n"/>
    </row>
    <row r="32" ht="12.75" customHeight="1" s="58">
      <c r="A32" s="74" t="n"/>
      <c r="B32" s="74" t="n"/>
      <c r="C32" s="74" t="n"/>
      <c r="D32" s="74" t="n"/>
      <c r="E32" s="74" t="n"/>
      <c r="F32" s="74" t="n"/>
    </row>
    <row r="33" ht="12.75" customHeight="1" s="58">
      <c r="A33" s="74" t="n"/>
      <c r="B33" s="74" t="n"/>
      <c r="C33" s="74" t="n"/>
      <c r="D33" s="74" t="n"/>
      <c r="E33" s="74" t="n"/>
      <c r="F33" s="74" t="n"/>
    </row>
    <row r="34" ht="12.75" customHeight="1" s="58">
      <c r="A34" s="74" t="n"/>
      <c r="B34" s="74" t="n"/>
      <c r="C34" s="74" t="n"/>
      <c r="D34" s="74" t="n"/>
      <c r="E34" s="74" t="n"/>
      <c r="F34" s="74" t="n"/>
    </row>
    <row r="35" ht="12.75" customHeight="1" s="58">
      <c r="A35" s="74" t="n"/>
      <c r="B35" s="74" t="n"/>
      <c r="C35" s="74" t="n"/>
      <c r="D35" s="74" t="n"/>
      <c r="E35" s="74" t="n"/>
      <c r="F35" s="74" t="n"/>
    </row>
    <row r="36" ht="12.75" customHeight="1" s="58">
      <c r="A36" s="74" t="n"/>
      <c r="B36" s="74" t="n"/>
      <c r="C36" s="74" t="n"/>
      <c r="D36" s="74" t="n"/>
      <c r="E36" s="74" t="n"/>
      <c r="F36" s="74" t="n"/>
    </row>
    <row r="37" ht="12.75" customHeight="1" s="58">
      <c r="A37" s="74" t="n"/>
      <c r="B37" s="74" t="n"/>
      <c r="C37" s="74" t="n"/>
      <c r="D37" s="74" t="n"/>
      <c r="E37" s="74" t="n"/>
      <c r="F37" s="74" t="n"/>
    </row>
    <row r="38" ht="12.75" customHeight="1" s="58">
      <c r="A38" s="74" t="n"/>
      <c r="B38" s="74" t="n"/>
      <c r="C38" s="74" t="n"/>
      <c r="D38" s="74" t="n"/>
      <c r="E38" s="74" t="n"/>
      <c r="F38" s="74" t="n"/>
    </row>
    <row r="39" ht="12.75" customHeight="1" s="58">
      <c r="A39" s="74" t="n"/>
      <c r="B39" s="74" t="n"/>
      <c r="C39" s="74" t="n"/>
      <c r="D39" s="74" t="n"/>
      <c r="E39" s="74" t="n"/>
      <c r="F39" s="74" t="n"/>
    </row>
    <row r="40" ht="12.75" customHeight="1" s="58">
      <c r="A40" s="74" t="n"/>
      <c r="B40" s="74" t="n"/>
      <c r="C40" s="74" t="n"/>
      <c r="D40" s="74" t="n"/>
      <c r="E40" s="74" t="n"/>
      <c r="F40" s="74" t="n"/>
    </row>
    <row r="41" ht="12.75" customHeight="1" s="58">
      <c r="A41" s="74" t="n"/>
      <c r="B41" s="74" t="n"/>
      <c r="C41" s="74" t="n"/>
      <c r="D41" s="74" t="n"/>
      <c r="E41" s="74" t="n"/>
      <c r="F41" s="74" t="n"/>
    </row>
    <row r="42" ht="12.75" customHeight="1" s="58">
      <c r="A42" s="74" t="n"/>
      <c r="B42" s="74" t="n"/>
      <c r="C42" s="74" t="n"/>
      <c r="D42" s="74" t="n"/>
      <c r="E42" s="74" t="n"/>
      <c r="F42" s="74" t="n"/>
    </row>
    <row r="43" ht="12.75" customHeight="1" s="58">
      <c r="A43" s="74" t="n"/>
      <c r="B43" s="74" t="n"/>
      <c r="C43" s="74" t="n"/>
      <c r="D43" s="74" t="n"/>
      <c r="E43" s="74" t="n"/>
      <c r="F43" s="74" t="n"/>
    </row>
    <row r="44" ht="12.75" customHeight="1" s="58">
      <c r="A44" s="74" t="n"/>
      <c r="B44" s="74" t="n"/>
      <c r="C44" s="74" t="n"/>
      <c r="D44" s="74" t="n"/>
      <c r="E44" s="74" t="n"/>
      <c r="F44" s="74" t="n"/>
    </row>
    <row r="45" ht="12.75" customHeight="1" s="58">
      <c r="A45" s="74" t="n"/>
      <c r="B45" s="74" t="n"/>
      <c r="C45" s="74" t="n"/>
      <c r="D45" s="74" t="n"/>
      <c r="E45" s="74" t="n"/>
      <c r="F45" s="74" t="n"/>
    </row>
    <row r="46" ht="12.75" customHeight="1" s="58">
      <c r="A46" s="74" t="n"/>
      <c r="B46" s="74" t="n"/>
      <c r="C46" s="74" t="n"/>
      <c r="D46" s="74" t="n"/>
      <c r="E46" s="74" t="n"/>
      <c r="F46" s="74" t="n"/>
    </row>
    <row r="47" ht="12.75" customHeight="1" s="58">
      <c r="A47" s="74" t="n"/>
      <c r="B47" s="74" t="n"/>
      <c r="C47" s="74" t="n"/>
      <c r="D47" s="74" t="n"/>
      <c r="E47" s="74" t="n"/>
      <c r="F47" s="74" t="n"/>
    </row>
    <row r="48" ht="12.75" customHeight="1" s="58">
      <c r="A48" s="74" t="n"/>
      <c r="B48" s="74" t="n"/>
      <c r="C48" s="74" t="n"/>
      <c r="D48" s="74" t="n"/>
      <c r="E48" s="74" t="n"/>
      <c r="F48" s="74" t="n"/>
    </row>
    <row r="49" ht="12.75" customHeight="1" s="58">
      <c r="A49" s="74" t="n"/>
      <c r="B49" s="74" t="n"/>
      <c r="C49" s="74" t="n"/>
      <c r="D49" s="74" t="n"/>
      <c r="E49" s="74" t="n"/>
      <c r="F49" s="74" t="n"/>
    </row>
    <row r="50" ht="12.75" customHeight="1" s="58">
      <c r="A50" s="74" t="n"/>
      <c r="B50" s="74" t="n"/>
      <c r="C50" s="74" t="n"/>
      <c r="D50" s="74" t="n"/>
      <c r="E50" s="74" t="n"/>
      <c r="F50" s="74" t="n"/>
    </row>
    <row r="51" ht="12.75" customHeight="1" s="58">
      <c r="A51" s="74" t="n"/>
      <c r="B51" s="74" t="n"/>
      <c r="C51" s="74" t="n"/>
      <c r="D51" s="74" t="n"/>
      <c r="E51" s="74" t="n"/>
      <c r="F51" s="74" t="n"/>
    </row>
    <row r="52" ht="12.75" customHeight="1" s="58">
      <c r="A52" s="74" t="n"/>
      <c r="B52" s="74" t="n"/>
      <c r="C52" s="74" t="n"/>
      <c r="D52" s="74" t="n"/>
      <c r="E52" s="74" t="n"/>
      <c r="F52" s="74" t="n"/>
    </row>
    <row r="53" ht="12.75" customHeight="1" s="58">
      <c r="A53" s="74" t="n"/>
      <c r="B53" s="74" t="n"/>
      <c r="C53" s="74" t="n"/>
      <c r="D53" s="74" t="n"/>
      <c r="E53" s="74" t="n"/>
      <c r="F53" s="74" t="n"/>
    </row>
    <row r="54" ht="12.75" customHeight="1" s="58">
      <c r="A54" s="74" t="n"/>
      <c r="B54" s="74" t="n"/>
      <c r="C54" s="74" t="n"/>
      <c r="D54" s="74" t="n"/>
      <c r="E54" s="74" t="n"/>
      <c r="F54" s="74" t="n"/>
    </row>
    <row r="55" ht="12.75" customHeight="1" s="58">
      <c r="A55" s="74" t="n"/>
      <c r="B55" s="74" t="n"/>
      <c r="C55" s="74" t="n"/>
      <c r="D55" s="74" t="n"/>
      <c r="E55" s="74" t="n"/>
      <c r="F55" s="74" t="n"/>
    </row>
    <row r="56" ht="12.75" customHeight="1" s="58">
      <c r="A56" s="74" t="n"/>
      <c r="B56" s="74" t="n"/>
      <c r="C56" s="74" t="n"/>
      <c r="D56" s="74" t="n"/>
      <c r="E56" s="74" t="n"/>
      <c r="F56" s="74" t="n"/>
    </row>
    <row r="57" ht="12.75" customHeight="1" s="58">
      <c r="A57" s="74" t="n"/>
      <c r="B57" s="74" t="n"/>
      <c r="C57" s="74" t="n"/>
      <c r="D57" s="74" t="n"/>
      <c r="E57" s="74" t="n"/>
      <c r="F57" s="74" t="n"/>
    </row>
    <row r="58" ht="12.75" customHeight="1" s="58">
      <c r="A58" s="74" t="n"/>
      <c r="B58" s="74" t="n"/>
      <c r="C58" s="74" t="n"/>
      <c r="D58" s="74" t="n"/>
      <c r="E58" s="74" t="n"/>
      <c r="F58" s="74" t="n"/>
    </row>
    <row r="59" ht="12.75" customHeight="1" s="58">
      <c r="A59" s="74" t="n"/>
      <c r="B59" s="74" t="n"/>
      <c r="C59" s="74" t="n"/>
      <c r="D59" s="74" t="n"/>
      <c r="E59" s="74" t="n"/>
      <c r="F59" s="74" t="n"/>
    </row>
    <row r="60" ht="12.75" customHeight="1" s="58">
      <c r="A60" s="74" t="n"/>
      <c r="B60" s="74" t="n"/>
      <c r="C60" s="74" t="n"/>
      <c r="D60" s="74" t="n"/>
      <c r="E60" s="74" t="n"/>
      <c r="F60" s="74" t="n"/>
    </row>
    <row r="61" ht="12.75" customHeight="1" s="58">
      <c r="A61" s="74" t="n"/>
      <c r="B61" s="74" t="n"/>
      <c r="C61" s="74" t="n"/>
      <c r="D61" s="74" t="n"/>
      <c r="E61" s="74" t="n"/>
      <c r="F61" s="74" t="n"/>
    </row>
    <row r="62" ht="12.75" customHeight="1" s="58">
      <c r="A62" s="74" t="n"/>
      <c r="B62" s="74" t="n"/>
      <c r="C62" s="74" t="n"/>
      <c r="D62" s="74" t="n"/>
      <c r="E62" s="74" t="n"/>
      <c r="F62" s="74" t="n"/>
    </row>
    <row r="63" ht="12.75" customHeight="1" s="58">
      <c r="A63" s="74" t="n"/>
      <c r="B63" s="74" t="n"/>
      <c r="C63" s="74" t="n"/>
      <c r="D63" s="74" t="n"/>
      <c r="E63" s="74" t="n"/>
      <c r="F63" s="74" t="n"/>
    </row>
    <row r="64" ht="12.75" customHeight="1" s="58">
      <c r="A64" s="74" t="n"/>
      <c r="B64" s="74" t="n"/>
      <c r="C64" s="74" t="n"/>
      <c r="D64" s="74" t="n"/>
      <c r="E64" s="74" t="n"/>
      <c r="F64" s="74" t="n"/>
    </row>
    <row r="65" ht="12.75" customHeight="1" s="58">
      <c r="A65" s="74" t="n"/>
      <c r="B65" s="74" t="n"/>
      <c r="C65" s="74" t="n"/>
      <c r="D65" s="74" t="n"/>
      <c r="E65" s="74" t="n"/>
      <c r="F65" s="74" t="n"/>
    </row>
    <row r="66" ht="12.75" customHeight="1" s="58">
      <c r="A66" s="74" t="n"/>
      <c r="B66" s="74" t="n"/>
      <c r="C66" s="74" t="n"/>
      <c r="D66" s="74" t="n"/>
      <c r="E66" s="74" t="n"/>
      <c r="F66" s="74" t="n"/>
    </row>
    <row r="67" ht="12.75" customHeight="1" s="58">
      <c r="A67" s="74" t="n"/>
      <c r="B67" s="74" t="n"/>
      <c r="C67" s="74" t="n"/>
      <c r="D67" s="74" t="n"/>
      <c r="E67" s="74" t="n"/>
      <c r="F67" s="74" t="n"/>
    </row>
    <row r="68" ht="12.75" customHeight="1" s="58">
      <c r="A68" s="74" t="n"/>
      <c r="B68" s="74" t="n"/>
      <c r="C68" s="74" t="n"/>
      <c r="D68" s="74" t="n"/>
      <c r="E68" s="74" t="n"/>
      <c r="F68" s="74" t="n"/>
    </row>
    <row r="69" ht="12.75" customHeight="1" s="58">
      <c r="A69" s="74" t="n"/>
      <c r="B69" s="74" t="n"/>
      <c r="C69" s="74" t="n"/>
      <c r="D69" s="74" t="n"/>
      <c r="E69" s="74" t="n"/>
      <c r="F69" s="74" t="n"/>
    </row>
    <row r="70" ht="12.75" customHeight="1" s="58">
      <c r="A70" s="74" t="n"/>
      <c r="B70" s="74" t="n"/>
      <c r="C70" s="74" t="n"/>
      <c r="D70" s="74" t="n"/>
      <c r="E70" s="74" t="n"/>
      <c r="F70" s="74" t="n"/>
    </row>
    <row r="71" ht="12.75" customHeight="1" s="58">
      <c r="A71" s="74" t="n"/>
      <c r="B71" s="74" t="n"/>
      <c r="C71" s="74" t="n"/>
      <c r="D71" s="74" t="n"/>
      <c r="E71" s="74" t="n"/>
      <c r="F71" s="74" t="n"/>
    </row>
    <row r="72" ht="12.75" customHeight="1" s="58">
      <c r="A72" s="74" t="n"/>
      <c r="B72" s="74" t="n"/>
      <c r="C72" s="74" t="n"/>
      <c r="D72" s="74" t="n"/>
      <c r="E72" s="74" t="n"/>
      <c r="F72" s="74" t="n"/>
    </row>
    <row r="73" ht="12.75" customHeight="1" s="58">
      <c r="A73" s="74" t="n"/>
      <c r="B73" s="74" t="n"/>
      <c r="C73" s="74" t="n"/>
      <c r="D73" s="74" t="n"/>
      <c r="E73" s="74" t="n"/>
      <c r="F73" s="74" t="n"/>
    </row>
    <row r="74" ht="12.75" customHeight="1" s="58">
      <c r="A74" s="74" t="n"/>
      <c r="B74" s="74" t="n"/>
      <c r="C74" s="74" t="n"/>
      <c r="D74" s="74" t="n"/>
      <c r="E74" s="74" t="n"/>
      <c r="F74" s="74" t="n"/>
    </row>
    <row r="75" ht="12.75" customHeight="1" s="58">
      <c r="A75" s="74" t="n"/>
      <c r="B75" s="74" t="n"/>
      <c r="C75" s="74" t="n"/>
      <c r="D75" s="74" t="n"/>
      <c r="E75" s="74" t="n"/>
      <c r="F75" s="74" t="n"/>
    </row>
    <row r="76" ht="12.75" customHeight="1" s="58">
      <c r="A76" s="74" t="n"/>
      <c r="B76" s="74" t="n"/>
      <c r="C76" s="74" t="n"/>
      <c r="D76" s="74" t="n"/>
      <c r="E76" s="74" t="n"/>
      <c r="F76" s="74" t="n"/>
    </row>
    <row r="77" ht="12.75" customHeight="1" s="58">
      <c r="A77" s="74" t="n"/>
      <c r="B77" s="74" t="n"/>
      <c r="C77" s="74" t="n"/>
      <c r="D77" s="74" t="n"/>
      <c r="E77" s="74" t="n"/>
      <c r="F77" s="74" t="n"/>
    </row>
    <row r="78" ht="12.75" customHeight="1" s="58">
      <c r="A78" s="74" t="n"/>
      <c r="B78" s="74" t="n"/>
      <c r="C78" s="74" t="n"/>
      <c r="D78" s="74" t="n"/>
      <c r="E78" s="74" t="n"/>
      <c r="F78" s="74" t="n"/>
    </row>
    <row r="79" ht="12.75" customHeight="1" s="58">
      <c r="A79" s="74" t="n"/>
      <c r="B79" s="74" t="n"/>
      <c r="C79" s="74" t="n"/>
      <c r="D79" s="74" t="n"/>
      <c r="E79" s="74" t="n"/>
      <c r="F79" s="74" t="n"/>
    </row>
    <row r="80" ht="12.75" customHeight="1" s="58">
      <c r="A80" s="74" t="n"/>
      <c r="B80" s="74" t="n"/>
      <c r="C80" s="74" t="n"/>
      <c r="D80" s="74" t="n"/>
      <c r="E80" s="74" t="n"/>
      <c r="F80" s="74" t="n"/>
    </row>
    <row r="81" ht="12.75" customHeight="1" s="58">
      <c r="A81" s="74" t="n"/>
      <c r="B81" s="74" t="n"/>
      <c r="C81" s="74" t="n"/>
      <c r="D81" s="74" t="n"/>
      <c r="E81" s="74" t="n"/>
      <c r="F81" s="74" t="n"/>
    </row>
    <row r="82" ht="12.75" customHeight="1" s="58">
      <c r="A82" s="74" t="n"/>
      <c r="B82" s="74" t="n"/>
      <c r="C82" s="74" t="n"/>
      <c r="D82" s="74" t="n"/>
      <c r="E82" s="74" t="n"/>
      <c r="F82" s="74" t="n"/>
    </row>
    <row r="83" ht="12.75" customHeight="1" s="58">
      <c r="A83" s="74" t="n"/>
      <c r="B83" s="74" t="n"/>
      <c r="C83" s="74" t="n"/>
      <c r="D83" s="74" t="n"/>
      <c r="E83" s="74" t="n"/>
      <c r="F83" s="74" t="n"/>
    </row>
    <row r="84" ht="12.75" customHeight="1" s="58">
      <c r="A84" s="74" t="n"/>
      <c r="B84" s="74" t="n"/>
      <c r="C84" s="74" t="n"/>
      <c r="D84" s="74" t="n"/>
      <c r="E84" s="74" t="n"/>
      <c r="F84" s="74" t="n"/>
    </row>
    <row r="85" ht="12.75" customHeight="1" s="58">
      <c r="A85" s="74" t="n"/>
      <c r="B85" s="74" t="n"/>
      <c r="C85" s="74" t="n"/>
      <c r="D85" s="74" t="n"/>
      <c r="E85" s="74" t="n"/>
      <c r="F85" s="74" t="n"/>
    </row>
    <row r="86" ht="12.75" customHeight="1" s="58">
      <c r="A86" s="74" t="n"/>
      <c r="B86" s="74" t="n"/>
      <c r="C86" s="74" t="n"/>
      <c r="D86" s="74" t="n"/>
      <c r="E86" s="74" t="n"/>
      <c r="F86" s="74" t="n"/>
    </row>
    <row r="87" ht="12.75" customHeight="1" s="58">
      <c r="A87" s="74" t="n"/>
      <c r="B87" s="74" t="n"/>
      <c r="C87" s="74" t="n"/>
      <c r="D87" s="74" t="n"/>
      <c r="E87" s="74" t="n"/>
      <c r="F87" s="74" t="n"/>
    </row>
    <row r="88" ht="12.75" customHeight="1" s="58">
      <c r="A88" s="74" t="n"/>
      <c r="B88" s="74" t="n"/>
      <c r="C88" s="74" t="n"/>
      <c r="D88" s="74" t="n"/>
      <c r="E88" s="74" t="n"/>
      <c r="F88" s="74" t="n"/>
    </row>
    <row r="89" ht="12.75" customHeight="1" s="58">
      <c r="A89" s="74" t="n"/>
      <c r="B89" s="74" t="n"/>
      <c r="C89" s="74" t="n"/>
      <c r="D89" s="74" t="n"/>
      <c r="E89" s="74" t="n"/>
      <c r="F89" s="74" t="n"/>
    </row>
    <row r="90" ht="12.75" customHeight="1" s="58">
      <c r="A90" s="74" t="n"/>
      <c r="B90" s="74" t="n"/>
      <c r="C90" s="74" t="n"/>
      <c r="D90" s="74" t="n"/>
      <c r="E90" s="74" t="n"/>
      <c r="F90" s="74" t="n"/>
    </row>
    <row r="91" ht="12.75" customHeight="1" s="58">
      <c r="A91" s="74" t="n"/>
      <c r="B91" s="74" t="n"/>
      <c r="C91" s="74" t="n"/>
      <c r="D91" s="74" t="n"/>
      <c r="E91" s="74" t="n"/>
      <c r="F91" s="74" t="n"/>
    </row>
    <row r="92" ht="12.75" customHeight="1" s="58">
      <c r="A92" s="74" t="n"/>
      <c r="B92" s="74" t="n"/>
      <c r="C92" s="74" t="n"/>
      <c r="D92" s="74" t="n"/>
      <c r="E92" s="74" t="n"/>
      <c r="F92" s="74" t="n"/>
    </row>
    <row r="93" ht="12.75" customHeight="1" s="58">
      <c r="A93" s="74" t="n"/>
      <c r="B93" s="74" t="n"/>
      <c r="C93" s="74" t="n"/>
      <c r="D93" s="74" t="n"/>
      <c r="E93" s="74" t="n"/>
      <c r="F93" s="74" t="n"/>
    </row>
    <row r="94" ht="12.75" customHeight="1" s="58">
      <c r="A94" s="74" t="n"/>
      <c r="B94" s="74" t="n"/>
      <c r="C94" s="74" t="n"/>
      <c r="D94" s="74" t="n"/>
      <c r="E94" s="74" t="n"/>
      <c r="F94" s="74" t="n"/>
    </row>
    <row r="95" ht="12.75" customHeight="1" s="58">
      <c r="A95" s="74" t="n"/>
      <c r="B95" s="74" t="n"/>
      <c r="C95" s="74" t="n"/>
      <c r="D95" s="74" t="n"/>
      <c r="E95" s="74" t="n"/>
      <c r="F95" s="74" t="n"/>
    </row>
    <row r="96" ht="12.75" customHeight="1" s="58">
      <c r="A96" s="74" t="n"/>
      <c r="B96" s="74" t="n"/>
      <c r="C96" s="74" t="n"/>
      <c r="D96" s="74" t="n"/>
      <c r="E96" s="74" t="n"/>
      <c r="F96" s="74" t="n"/>
    </row>
    <row r="97" ht="12.75" customHeight="1" s="58">
      <c r="A97" s="74" t="n"/>
      <c r="B97" s="74" t="n"/>
      <c r="C97" s="74" t="n"/>
      <c r="D97" s="74" t="n"/>
      <c r="E97" s="74" t="n"/>
      <c r="F97" s="74" t="n"/>
    </row>
    <row r="98" ht="12.75" customHeight="1" s="58">
      <c r="A98" s="74" t="n"/>
      <c r="B98" s="74" t="n"/>
      <c r="C98" s="74" t="n"/>
      <c r="D98" s="74" t="n"/>
      <c r="E98" s="74" t="n"/>
      <c r="F98" s="74" t="n"/>
    </row>
    <row r="99" ht="12.75" customHeight="1" s="58">
      <c r="A99" s="74" t="n"/>
      <c r="B99" s="74" t="n"/>
      <c r="C99" s="74" t="n"/>
      <c r="D99" s="74" t="n"/>
      <c r="E99" s="74" t="n"/>
      <c r="F99" s="74" t="n"/>
    </row>
    <row r="100" ht="12.75" customHeight="1" s="58">
      <c r="A100" s="74" t="n"/>
      <c r="B100" s="74" t="n"/>
      <c r="C100" s="74" t="n"/>
      <c r="D100" s="74" t="n"/>
      <c r="E100" s="74" t="n"/>
      <c r="F100" s="74" t="n"/>
    </row>
    <row r="101" ht="12.75" customHeight="1" s="58">
      <c r="A101" s="74" t="n"/>
      <c r="B101" s="74" t="n"/>
      <c r="C101" s="74" t="n"/>
      <c r="D101" s="74" t="n"/>
      <c r="E101" s="74" t="n"/>
      <c r="F101" s="74" t="n"/>
    </row>
    <row r="102" ht="12.75" customHeight="1" s="58">
      <c r="A102" s="74" t="n"/>
      <c r="B102" s="74" t="n"/>
      <c r="C102" s="74" t="n"/>
      <c r="D102" s="74" t="n"/>
      <c r="E102" s="74" t="n"/>
      <c r="F102" s="74" t="n"/>
    </row>
    <row r="103" ht="12.75" customHeight="1" s="58">
      <c r="A103" s="74" t="n"/>
      <c r="B103" s="74" t="n"/>
      <c r="C103" s="74" t="n"/>
      <c r="D103" s="74" t="n"/>
      <c r="E103" s="74" t="n"/>
      <c r="F103" s="74" t="n"/>
    </row>
    <row r="104" ht="12.75" customHeight="1" s="58">
      <c r="A104" s="74" t="n"/>
      <c r="B104" s="74" t="n"/>
      <c r="C104" s="74" t="n"/>
      <c r="D104" s="74" t="n"/>
      <c r="E104" s="74" t="n"/>
      <c r="F104" s="74" t="n"/>
    </row>
    <row r="105" ht="12.75" customHeight="1" s="58">
      <c r="A105" s="74" t="n"/>
      <c r="B105" s="74" t="n"/>
      <c r="C105" s="74" t="n"/>
      <c r="D105" s="74" t="n"/>
      <c r="E105" s="74" t="n"/>
      <c r="F105" s="74" t="n"/>
    </row>
    <row r="106" ht="12.75" customHeight="1" s="58">
      <c r="A106" s="74" t="n"/>
      <c r="B106" s="74" t="n"/>
      <c r="C106" s="74" t="n"/>
      <c r="D106" s="74" t="n"/>
      <c r="E106" s="74" t="n"/>
      <c r="F106" s="74" t="n"/>
    </row>
    <row r="107" ht="12.75" customHeight="1" s="58">
      <c r="A107" s="74" t="n"/>
      <c r="B107" s="74" t="n"/>
      <c r="C107" s="74" t="n"/>
      <c r="D107" s="74" t="n"/>
      <c r="E107" s="74" t="n"/>
      <c r="F107" s="74" t="n"/>
    </row>
    <row r="108" ht="12.75" customHeight="1" s="58">
      <c r="A108" s="74" t="n"/>
      <c r="B108" s="74" t="n"/>
      <c r="C108" s="74" t="n"/>
      <c r="D108" s="74" t="n"/>
      <c r="E108" s="74" t="n"/>
      <c r="F108" s="74" t="n"/>
    </row>
    <row r="109" ht="12.75" customHeight="1" s="58">
      <c r="A109" s="74" t="n"/>
      <c r="B109" s="74" t="n"/>
      <c r="C109" s="74" t="n"/>
      <c r="D109" s="74" t="n"/>
      <c r="E109" s="74" t="n"/>
      <c r="F109" s="74" t="n"/>
    </row>
    <row r="110" ht="12.75" customHeight="1" s="58">
      <c r="A110" s="74" t="n"/>
      <c r="B110" s="74" t="n"/>
      <c r="C110" s="74" t="n"/>
      <c r="D110" s="74" t="n"/>
      <c r="E110" s="74" t="n"/>
      <c r="F110" s="74" t="n"/>
    </row>
    <row r="111" ht="12.75" customHeight="1" s="58">
      <c r="A111" s="74" t="n"/>
      <c r="B111" s="74" t="n"/>
      <c r="C111" s="74" t="n"/>
      <c r="D111" s="74" t="n"/>
      <c r="E111" s="74" t="n"/>
      <c r="F111" s="74" t="n"/>
    </row>
    <row r="112" ht="12.75" customHeight="1" s="58">
      <c r="A112" s="74" t="n"/>
      <c r="B112" s="74" t="n"/>
      <c r="C112" s="74" t="n"/>
      <c r="D112" s="74" t="n"/>
      <c r="E112" s="74" t="n"/>
      <c r="F112" s="74" t="n"/>
    </row>
    <row r="113" ht="12.75" customHeight="1" s="58">
      <c r="A113" s="74" t="n"/>
      <c r="B113" s="74" t="n"/>
      <c r="C113" s="74" t="n"/>
      <c r="D113" s="74" t="n"/>
      <c r="E113" s="74" t="n"/>
      <c r="F113" s="74" t="n"/>
    </row>
    <row r="114" ht="12.75" customHeight="1" s="58">
      <c r="A114" s="74" t="n"/>
      <c r="B114" s="74" t="n"/>
      <c r="C114" s="74" t="n"/>
      <c r="D114" s="74" t="n"/>
      <c r="E114" s="74" t="n"/>
      <c r="F114" s="74" t="n"/>
    </row>
    <row r="115" ht="12.75" customHeight="1" s="58">
      <c r="A115" s="74" t="n"/>
      <c r="B115" s="74" t="n"/>
      <c r="C115" s="74" t="n"/>
      <c r="D115" s="74" t="n"/>
      <c r="E115" s="74" t="n"/>
      <c r="F115" s="74" t="n"/>
    </row>
    <row r="116" ht="12.75" customHeight="1" s="58">
      <c r="A116" s="74" t="n"/>
      <c r="B116" s="74" t="n"/>
      <c r="C116" s="74" t="n"/>
      <c r="D116" s="74" t="n"/>
      <c r="E116" s="74" t="n"/>
      <c r="F116" s="74" t="n"/>
    </row>
    <row r="117" ht="12.75" customHeight="1" s="58">
      <c r="A117" s="74" t="n"/>
      <c r="B117" s="74" t="n"/>
      <c r="C117" s="74" t="n"/>
      <c r="D117" s="74" t="n"/>
      <c r="E117" s="74" t="n"/>
      <c r="F117" s="74" t="n"/>
    </row>
    <row r="118" ht="12.75" customHeight="1" s="58">
      <c r="A118" s="74" t="n"/>
      <c r="B118" s="74" t="n"/>
      <c r="C118" s="74" t="n"/>
      <c r="D118" s="74" t="n"/>
      <c r="E118" s="74" t="n"/>
      <c r="F118" s="74" t="n"/>
    </row>
    <row r="119" ht="12.75" customHeight="1" s="58">
      <c r="A119" s="74" t="n"/>
      <c r="B119" s="74" t="n"/>
      <c r="C119" s="74" t="n"/>
      <c r="D119" s="74" t="n"/>
      <c r="E119" s="74" t="n"/>
      <c r="F119" s="74" t="n"/>
    </row>
    <row r="120" ht="12.75" customHeight="1" s="58">
      <c r="A120" s="74" t="n"/>
      <c r="B120" s="74" t="n"/>
      <c r="C120" s="74" t="n"/>
      <c r="D120" s="74" t="n"/>
      <c r="E120" s="74" t="n"/>
      <c r="F120" s="74" t="n"/>
    </row>
    <row r="121" ht="12.75" customHeight="1" s="58">
      <c r="A121" s="74" t="n"/>
      <c r="B121" s="74" t="n"/>
      <c r="C121" s="74" t="n"/>
      <c r="D121" s="74" t="n"/>
      <c r="E121" s="74" t="n"/>
      <c r="F121" s="74" t="n"/>
    </row>
    <row r="122" ht="12.75" customHeight="1" s="58">
      <c r="A122" s="74" t="n"/>
      <c r="B122" s="74" t="n"/>
      <c r="C122" s="74" t="n"/>
      <c r="D122" s="74" t="n"/>
      <c r="E122" s="74" t="n"/>
      <c r="F122" s="74" t="n"/>
    </row>
    <row r="123" ht="12.75" customHeight="1" s="58">
      <c r="A123" s="74" t="n"/>
      <c r="B123" s="74" t="n"/>
      <c r="C123" s="74" t="n"/>
      <c r="D123" s="74" t="n"/>
      <c r="E123" s="74" t="n"/>
      <c r="F123" s="74" t="n"/>
    </row>
    <row r="124" ht="12.75" customHeight="1" s="58">
      <c r="A124" s="74" t="n"/>
      <c r="B124" s="74" t="n"/>
      <c r="C124" s="74" t="n"/>
      <c r="D124" s="74" t="n"/>
      <c r="E124" s="74" t="n"/>
      <c r="F124" s="74" t="n"/>
    </row>
    <row r="125" ht="12.75" customHeight="1" s="58">
      <c r="A125" s="74" t="n"/>
      <c r="B125" s="74" t="n"/>
      <c r="C125" s="74" t="n"/>
      <c r="D125" s="74" t="n"/>
      <c r="E125" s="74" t="n"/>
      <c r="F125" s="74" t="n"/>
    </row>
    <row r="126" ht="12.75" customHeight="1" s="58">
      <c r="A126" s="74" t="n"/>
      <c r="B126" s="74" t="n"/>
      <c r="C126" s="74" t="n"/>
      <c r="D126" s="74" t="n"/>
      <c r="E126" s="74" t="n"/>
      <c r="F126" s="74" t="n"/>
    </row>
    <row r="127" ht="12.75" customHeight="1" s="58">
      <c r="A127" s="74" t="n"/>
      <c r="B127" s="74" t="n"/>
      <c r="C127" s="74" t="n"/>
      <c r="D127" s="74" t="n"/>
      <c r="E127" s="74" t="n"/>
      <c r="F127" s="74" t="n"/>
    </row>
    <row r="128" ht="12.75" customHeight="1" s="58">
      <c r="A128" s="74" t="n"/>
      <c r="B128" s="74" t="n"/>
      <c r="C128" s="74" t="n"/>
      <c r="D128" s="74" t="n"/>
      <c r="E128" s="74" t="n"/>
      <c r="F128" s="74" t="n"/>
    </row>
    <row r="129" ht="12.75" customHeight="1" s="58">
      <c r="A129" s="74" t="n"/>
      <c r="B129" s="74" t="n"/>
      <c r="C129" s="74" t="n"/>
      <c r="D129" s="74" t="n"/>
      <c r="E129" s="74" t="n"/>
      <c r="F129" s="74" t="n"/>
    </row>
    <row r="130" ht="12.75" customHeight="1" s="58">
      <c r="A130" s="74" t="n"/>
      <c r="B130" s="74" t="n"/>
      <c r="C130" s="74" t="n"/>
      <c r="D130" s="74" t="n"/>
      <c r="E130" s="74" t="n"/>
      <c r="F130" s="74" t="n"/>
    </row>
    <row r="131" ht="12.75" customHeight="1" s="58">
      <c r="A131" s="74" t="n"/>
      <c r="B131" s="74" t="n"/>
      <c r="C131" s="74" t="n"/>
      <c r="D131" s="74" t="n"/>
      <c r="E131" s="74" t="n"/>
      <c r="F131" s="74" t="n"/>
    </row>
    <row r="132" ht="12.75" customHeight="1" s="58">
      <c r="A132" s="74" t="n"/>
      <c r="B132" s="74" t="n"/>
      <c r="C132" s="74" t="n"/>
      <c r="D132" s="74" t="n"/>
      <c r="E132" s="74" t="n"/>
      <c r="F132" s="74" t="n"/>
    </row>
    <row r="133" ht="12.75" customHeight="1" s="58">
      <c r="A133" s="74" t="n"/>
      <c r="B133" s="74" t="n"/>
      <c r="C133" s="74" t="n"/>
      <c r="D133" s="74" t="n"/>
      <c r="E133" s="74" t="n"/>
      <c r="F133" s="74" t="n"/>
    </row>
    <row r="134" ht="12.75" customHeight="1" s="58">
      <c r="A134" s="74" t="n"/>
      <c r="B134" s="74" t="n"/>
      <c r="C134" s="74" t="n"/>
      <c r="D134" s="74" t="n"/>
      <c r="E134" s="74" t="n"/>
      <c r="F134" s="74" t="n"/>
    </row>
    <row r="135" ht="12.75" customHeight="1" s="58">
      <c r="A135" s="74" t="n"/>
      <c r="B135" s="74" t="n"/>
      <c r="C135" s="74" t="n"/>
      <c r="D135" s="74" t="n"/>
      <c r="E135" s="74" t="n"/>
      <c r="F135" s="74" t="n"/>
    </row>
    <row r="136" ht="12.75" customHeight="1" s="58">
      <c r="A136" s="74" t="n"/>
      <c r="B136" s="74" t="n"/>
      <c r="C136" s="74" t="n"/>
      <c r="D136" s="74" t="n"/>
      <c r="E136" s="74" t="n"/>
      <c r="F136" s="74" t="n"/>
    </row>
    <row r="137" ht="12.75" customHeight="1" s="58">
      <c r="A137" s="74" t="n"/>
      <c r="B137" s="74" t="n"/>
      <c r="C137" s="74" t="n"/>
      <c r="D137" s="74" t="n"/>
      <c r="E137" s="74" t="n"/>
      <c r="F137" s="74" t="n"/>
    </row>
    <row r="138" ht="12.75" customHeight="1" s="58">
      <c r="A138" s="74" t="n"/>
      <c r="B138" s="74" t="n"/>
      <c r="C138" s="74" t="n"/>
      <c r="D138" s="74" t="n"/>
      <c r="E138" s="74" t="n"/>
      <c r="F138" s="74" t="n"/>
    </row>
    <row r="139" ht="12.75" customHeight="1" s="58">
      <c r="A139" s="74" t="n"/>
      <c r="B139" s="74" t="n"/>
      <c r="C139" s="74" t="n"/>
      <c r="D139" s="74" t="n"/>
      <c r="E139" s="74" t="n"/>
      <c r="F139" s="74" t="n"/>
    </row>
    <row r="140" ht="12.75" customHeight="1" s="58">
      <c r="A140" s="74" t="n"/>
      <c r="B140" s="74" t="n"/>
      <c r="C140" s="74" t="n"/>
      <c r="D140" s="74" t="n"/>
      <c r="E140" s="74" t="n"/>
      <c r="F140" s="74" t="n"/>
    </row>
    <row r="141" ht="12.75" customHeight="1" s="58">
      <c r="A141" s="74" t="n"/>
      <c r="B141" s="74" t="n"/>
      <c r="C141" s="74" t="n"/>
      <c r="D141" s="74" t="n"/>
      <c r="E141" s="74" t="n"/>
      <c r="F141" s="74" t="n"/>
    </row>
    <row r="142" ht="12.75" customHeight="1" s="58">
      <c r="A142" s="74" t="n"/>
      <c r="B142" s="74" t="n"/>
      <c r="C142" s="74" t="n"/>
      <c r="D142" s="74" t="n"/>
      <c r="E142" s="74" t="n"/>
      <c r="F142" s="74" t="n"/>
    </row>
    <row r="143" ht="12.75" customHeight="1" s="58">
      <c r="A143" s="74" t="n"/>
      <c r="B143" s="74" t="n"/>
      <c r="C143" s="74" t="n"/>
      <c r="D143" s="74" t="n"/>
      <c r="E143" s="74" t="n"/>
      <c r="F143" s="74" t="n"/>
    </row>
    <row r="144" ht="12.75" customHeight="1" s="58">
      <c r="A144" s="74" t="n"/>
      <c r="B144" s="74" t="n"/>
      <c r="C144" s="74" t="n"/>
      <c r="D144" s="74" t="n"/>
      <c r="E144" s="74" t="n"/>
      <c r="F144" s="74" t="n"/>
    </row>
    <row r="145" ht="12.75" customHeight="1" s="58">
      <c r="A145" s="74" t="n"/>
      <c r="B145" s="74" t="n"/>
      <c r="C145" s="74" t="n"/>
      <c r="D145" s="74" t="n"/>
      <c r="E145" s="74" t="n"/>
      <c r="F145" s="74" t="n"/>
    </row>
    <row r="146" ht="12.75" customHeight="1" s="58">
      <c r="A146" s="74" t="n"/>
      <c r="B146" s="74" t="n"/>
      <c r="C146" s="74" t="n"/>
      <c r="D146" s="74" t="n"/>
      <c r="E146" s="74" t="n"/>
      <c r="F146" s="74" t="n"/>
    </row>
    <row r="147" ht="12.75" customHeight="1" s="58">
      <c r="A147" s="74" t="n"/>
      <c r="B147" s="74" t="n"/>
      <c r="C147" s="74" t="n"/>
      <c r="D147" s="74" t="n"/>
      <c r="E147" s="74" t="n"/>
      <c r="F147" s="74" t="n"/>
    </row>
    <row r="148" ht="12.75" customHeight="1" s="58">
      <c r="A148" s="74" t="n"/>
      <c r="B148" s="74" t="n"/>
      <c r="C148" s="74" t="n"/>
      <c r="D148" s="74" t="n"/>
      <c r="E148" s="74" t="n"/>
      <c r="F148" s="74" t="n"/>
    </row>
    <row r="149" ht="12.75" customHeight="1" s="58">
      <c r="A149" s="74" t="n"/>
      <c r="B149" s="74" t="n"/>
      <c r="C149" s="74" t="n"/>
      <c r="D149" s="74" t="n"/>
      <c r="E149" s="74" t="n"/>
      <c r="F149" s="74" t="n"/>
    </row>
    <row r="150" ht="12.75" customHeight="1" s="58">
      <c r="A150" s="74" t="n"/>
      <c r="B150" s="74" t="n"/>
      <c r="C150" s="74" t="n"/>
      <c r="D150" s="74" t="n"/>
      <c r="E150" s="74" t="n"/>
      <c r="F150" s="74" t="n"/>
    </row>
    <row r="151" ht="12.75" customHeight="1" s="58">
      <c r="A151" s="74" t="n"/>
      <c r="B151" s="74" t="n"/>
      <c r="C151" s="74" t="n"/>
      <c r="D151" s="74" t="n"/>
      <c r="E151" s="74" t="n"/>
      <c r="F151" s="74" t="n"/>
    </row>
    <row r="152" ht="12.75" customHeight="1" s="58">
      <c r="A152" s="74" t="n"/>
      <c r="B152" s="74" t="n"/>
      <c r="C152" s="74" t="n"/>
      <c r="D152" s="74" t="n"/>
      <c r="E152" s="74" t="n"/>
      <c r="F152" s="74" t="n"/>
    </row>
    <row r="153" ht="12.75" customHeight="1" s="58">
      <c r="A153" s="74" t="n"/>
      <c r="B153" s="74" t="n"/>
      <c r="C153" s="74" t="n"/>
      <c r="D153" s="74" t="n"/>
      <c r="E153" s="74" t="n"/>
      <c r="F153" s="74" t="n"/>
    </row>
    <row r="154" ht="12.75" customHeight="1" s="58">
      <c r="A154" s="74" t="n"/>
      <c r="B154" s="74" t="n"/>
      <c r="C154" s="74" t="n"/>
      <c r="D154" s="74" t="n"/>
      <c r="E154" s="74" t="n"/>
      <c r="F154" s="74" t="n"/>
    </row>
    <row r="155" ht="12.75" customHeight="1" s="58">
      <c r="A155" s="74" t="n"/>
      <c r="B155" s="74" t="n"/>
      <c r="C155" s="74" t="n"/>
      <c r="D155" s="74" t="n"/>
      <c r="E155" s="74" t="n"/>
      <c r="F155" s="74" t="n"/>
    </row>
    <row r="156" ht="12.75" customHeight="1" s="58">
      <c r="A156" s="74" t="n"/>
      <c r="B156" s="74" t="n"/>
      <c r="C156" s="74" t="n"/>
      <c r="D156" s="74" t="n"/>
      <c r="E156" s="74" t="n"/>
      <c r="F156" s="74" t="n"/>
    </row>
    <row r="157" ht="12.75" customHeight="1" s="58">
      <c r="A157" s="74" t="n"/>
      <c r="B157" s="74" t="n"/>
      <c r="C157" s="74" t="n"/>
      <c r="D157" s="74" t="n"/>
      <c r="E157" s="74" t="n"/>
      <c r="F157" s="74" t="n"/>
    </row>
    <row r="158" ht="12.75" customHeight="1" s="58">
      <c r="A158" s="74" t="n"/>
      <c r="B158" s="74" t="n"/>
      <c r="C158" s="74" t="n"/>
      <c r="D158" s="74" t="n"/>
      <c r="E158" s="74" t="n"/>
      <c r="F158" s="74" t="n"/>
    </row>
    <row r="159" ht="12.75" customHeight="1" s="58">
      <c r="A159" s="74" t="n"/>
      <c r="B159" s="74" t="n"/>
      <c r="C159" s="74" t="n"/>
      <c r="D159" s="74" t="n"/>
      <c r="E159" s="74" t="n"/>
      <c r="F159" s="74" t="n"/>
    </row>
    <row r="160" ht="12.75" customHeight="1" s="58">
      <c r="A160" s="74" t="n"/>
      <c r="B160" s="74" t="n"/>
      <c r="C160" s="74" t="n"/>
      <c r="D160" s="74" t="n"/>
      <c r="E160" s="74" t="n"/>
      <c r="F160" s="74" t="n"/>
    </row>
    <row r="161" ht="12.75" customHeight="1" s="58">
      <c r="A161" s="74" t="n"/>
      <c r="B161" s="74" t="n"/>
      <c r="C161" s="74" t="n"/>
      <c r="D161" s="74" t="n"/>
      <c r="E161" s="74" t="n"/>
      <c r="F161" s="74" t="n"/>
    </row>
    <row r="162" ht="12.75" customHeight="1" s="58">
      <c r="A162" s="74" t="n"/>
      <c r="B162" s="74" t="n"/>
      <c r="C162" s="74" t="n"/>
      <c r="D162" s="74" t="n"/>
      <c r="E162" s="74" t="n"/>
      <c r="F162" s="74" t="n"/>
    </row>
    <row r="163" ht="12.75" customHeight="1" s="58">
      <c r="A163" s="74" t="n"/>
      <c r="B163" s="74" t="n"/>
      <c r="C163" s="74" t="n"/>
      <c r="D163" s="74" t="n"/>
      <c r="E163" s="74" t="n"/>
      <c r="F163" s="74" t="n"/>
    </row>
    <row r="164" ht="12.75" customHeight="1" s="58">
      <c r="A164" s="74" t="n"/>
      <c r="B164" s="74" t="n"/>
      <c r="C164" s="74" t="n"/>
      <c r="D164" s="74" t="n"/>
      <c r="E164" s="74" t="n"/>
      <c r="F164" s="74" t="n"/>
    </row>
    <row r="165" ht="12.75" customHeight="1" s="58">
      <c r="A165" s="74" t="n"/>
      <c r="B165" s="74" t="n"/>
      <c r="C165" s="74" t="n"/>
      <c r="D165" s="74" t="n"/>
      <c r="E165" s="74" t="n"/>
      <c r="F165" s="74" t="n"/>
    </row>
    <row r="166" ht="12.75" customHeight="1" s="58">
      <c r="A166" s="74" t="n"/>
      <c r="B166" s="74" t="n"/>
      <c r="C166" s="74" t="n"/>
      <c r="D166" s="74" t="n"/>
      <c r="E166" s="74" t="n"/>
      <c r="F166" s="74" t="n"/>
    </row>
    <row r="167" ht="12.75" customHeight="1" s="58">
      <c r="A167" s="74" t="n"/>
      <c r="B167" s="74" t="n"/>
      <c r="C167" s="74" t="n"/>
      <c r="D167" s="74" t="n"/>
      <c r="E167" s="74" t="n"/>
      <c r="F167" s="74" t="n"/>
    </row>
    <row r="168" ht="12.75" customHeight="1" s="58">
      <c r="A168" s="74" t="n"/>
      <c r="B168" s="74" t="n"/>
      <c r="C168" s="74" t="n"/>
      <c r="D168" s="74" t="n"/>
      <c r="E168" s="74" t="n"/>
      <c r="F168" s="74" t="n"/>
    </row>
    <row r="169" ht="12.75" customHeight="1" s="58">
      <c r="A169" s="74" t="n"/>
      <c r="B169" s="74" t="n"/>
      <c r="C169" s="74" t="n"/>
      <c r="D169" s="74" t="n"/>
      <c r="E169" s="74" t="n"/>
      <c r="F169" s="74" t="n"/>
    </row>
    <row r="170" ht="12.75" customHeight="1" s="58">
      <c r="A170" s="74" t="n"/>
      <c r="B170" s="74" t="n"/>
      <c r="C170" s="74" t="n"/>
      <c r="D170" s="74" t="n"/>
      <c r="E170" s="74" t="n"/>
      <c r="F170" s="74" t="n"/>
    </row>
    <row r="171" ht="12.75" customHeight="1" s="58">
      <c r="A171" s="74" t="n"/>
      <c r="B171" s="74" t="n"/>
      <c r="C171" s="74" t="n"/>
      <c r="D171" s="74" t="n"/>
      <c r="E171" s="74" t="n"/>
      <c r="F171" s="74" t="n"/>
    </row>
    <row r="172" ht="12.75" customHeight="1" s="58">
      <c r="A172" s="74" t="n"/>
      <c r="B172" s="74" t="n"/>
      <c r="C172" s="74" t="n"/>
      <c r="D172" s="74" t="n"/>
      <c r="E172" s="74" t="n"/>
      <c r="F172" s="74" t="n"/>
    </row>
    <row r="173" ht="12.75" customHeight="1" s="58">
      <c r="A173" s="74" t="n"/>
      <c r="B173" s="74" t="n"/>
      <c r="C173" s="74" t="n"/>
      <c r="D173" s="74" t="n"/>
      <c r="E173" s="74" t="n"/>
      <c r="F173" s="74" t="n"/>
    </row>
    <row r="174" ht="12.75" customHeight="1" s="58">
      <c r="A174" s="74" t="n"/>
      <c r="B174" s="74" t="n"/>
      <c r="C174" s="74" t="n"/>
      <c r="D174" s="74" t="n"/>
      <c r="E174" s="74" t="n"/>
      <c r="F174" s="74" t="n"/>
    </row>
    <row r="175" ht="12.75" customHeight="1" s="58">
      <c r="A175" s="74" t="n"/>
      <c r="B175" s="74" t="n"/>
      <c r="C175" s="74" t="n"/>
      <c r="D175" s="74" t="n"/>
      <c r="E175" s="74" t="n"/>
      <c r="F175" s="74" t="n"/>
    </row>
    <row r="176" ht="12.75" customHeight="1" s="58">
      <c r="A176" s="74" t="n"/>
      <c r="B176" s="74" t="n"/>
      <c r="C176" s="74" t="n"/>
      <c r="D176" s="74" t="n"/>
      <c r="E176" s="74" t="n"/>
      <c r="F176" s="74" t="n"/>
    </row>
    <row r="177" ht="12.75" customHeight="1" s="58">
      <c r="A177" s="74" t="n"/>
      <c r="B177" s="74" t="n"/>
      <c r="C177" s="74" t="n"/>
      <c r="D177" s="74" t="n"/>
      <c r="E177" s="74" t="n"/>
      <c r="F177" s="74" t="n"/>
    </row>
    <row r="178" ht="12.75" customHeight="1" s="58">
      <c r="A178" s="74" t="n"/>
      <c r="B178" s="74" t="n"/>
      <c r="C178" s="74" t="n"/>
      <c r="D178" s="74" t="n"/>
      <c r="E178" s="74" t="n"/>
      <c r="F178" s="74" t="n"/>
    </row>
    <row r="179" ht="12.75" customHeight="1" s="58">
      <c r="A179" s="74" t="n"/>
      <c r="B179" s="74" t="n"/>
      <c r="C179" s="74" t="n"/>
      <c r="D179" s="74" t="n"/>
      <c r="E179" s="74" t="n"/>
      <c r="F179" s="74" t="n"/>
    </row>
    <row r="180" ht="12.75" customHeight="1" s="58">
      <c r="A180" s="74" t="n"/>
      <c r="B180" s="74" t="n"/>
      <c r="C180" s="74" t="n"/>
      <c r="D180" s="74" t="n"/>
      <c r="E180" s="74" t="n"/>
      <c r="F180" s="74" t="n"/>
    </row>
    <row r="181" ht="12.75" customHeight="1" s="58">
      <c r="A181" s="74" t="n"/>
      <c r="B181" s="74" t="n"/>
      <c r="C181" s="74" t="n"/>
      <c r="D181" s="74" t="n"/>
      <c r="E181" s="74" t="n"/>
      <c r="F181" s="74" t="n"/>
    </row>
    <row r="182" ht="12.75" customHeight="1" s="58">
      <c r="A182" s="74" t="n"/>
      <c r="B182" s="74" t="n"/>
      <c r="C182" s="74" t="n"/>
      <c r="D182" s="74" t="n"/>
      <c r="E182" s="74" t="n"/>
      <c r="F182" s="74" t="n"/>
    </row>
    <row r="183" ht="12.75" customHeight="1" s="58">
      <c r="A183" s="74" t="n"/>
      <c r="B183" s="74" t="n"/>
      <c r="C183" s="74" t="n"/>
      <c r="D183" s="74" t="n"/>
      <c r="E183" s="74" t="n"/>
      <c r="F183" s="74" t="n"/>
    </row>
    <row r="184" ht="12.75" customHeight="1" s="58">
      <c r="A184" s="74" t="n"/>
      <c r="B184" s="74" t="n"/>
      <c r="C184" s="74" t="n"/>
      <c r="D184" s="74" t="n"/>
      <c r="E184" s="74" t="n"/>
      <c r="F184" s="74" t="n"/>
    </row>
    <row r="185" ht="12.75" customHeight="1" s="58">
      <c r="A185" s="74" t="n"/>
      <c r="B185" s="74" t="n"/>
      <c r="C185" s="74" t="n"/>
      <c r="D185" s="74" t="n"/>
      <c r="E185" s="74" t="n"/>
      <c r="F185" s="74" t="n"/>
    </row>
    <row r="186" ht="12.75" customHeight="1" s="58">
      <c r="A186" s="74" t="n"/>
      <c r="B186" s="74" t="n"/>
      <c r="C186" s="74" t="n"/>
      <c r="D186" s="74" t="n"/>
      <c r="E186" s="74" t="n"/>
      <c r="F186" s="74" t="n"/>
    </row>
    <row r="187" ht="12.75" customHeight="1" s="58">
      <c r="A187" s="74" t="n"/>
      <c r="B187" s="74" t="n"/>
      <c r="C187" s="74" t="n"/>
      <c r="D187" s="74" t="n"/>
      <c r="E187" s="74" t="n"/>
      <c r="F187" s="74" t="n"/>
    </row>
    <row r="188" ht="12.75" customHeight="1" s="58">
      <c r="A188" s="74" t="n"/>
      <c r="B188" s="74" t="n"/>
      <c r="C188" s="74" t="n"/>
      <c r="D188" s="74" t="n"/>
      <c r="E188" s="74" t="n"/>
      <c r="F188" s="74" t="n"/>
    </row>
    <row r="189" ht="12.75" customHeight="1" s="58">
      <c r="A189" s="74" t="n"/>
      <c r="B189" s="74" t="n"/>
      <c r="C189" s="74" t="n"/>
      <c r="D189" s="74" t="n"/>
      <c r="E189" s="74" t="n"/>
      <c r="F189" s="74" t="n"/>
    </row>
    <row r="190" ht="12.75" customHeight="1" s="58">
      <c r="A190" s="74" t="n"/>
      <c r="B190" s="74" t="n"/>
      <c r="C190" s="74" t="n"/>
      <c r="D190" s="74" t="n"/>
      <c r="E190" s="74" t="n"/>
      <c r="F190" s="74" t="n"/>
    </row>
    <row r="191" ht="12.75" customHeight="1" s="58">
      <c r="A191" s="74" t="n"/>
      <c r="B191" s="74" t="n"/>
      <c r="C191" s="74" t="n"/>
      <c r="D191" s="74" t="n"/>
      <c r="E191" s="74" t="n"/>
      <c r="F191" s="74" t="n"/>
    </row>
    <row r="192" ht="12.75" customHeight="1" s="58">
      <c r="A192" s="74" t="n"/>
      <c r="B192" s="74" t="n"/>
      <c r="C192" s="74" t="n"/>
      <c r="D192" s="74" t="n"/>
      <c r="E192" s="74" t="n"/>
      <c r="F192" s="74" t="n"/>
    </row>
    <row r="193" ht="12.75" customHeight="1" s="58">
      <c r="A193" s="74" t="n"/>
      <c r="B193" s="74" t="n"/>
      <c r="C193" s="74" t="n"/>
      <c r="D193" s="74" t="n"/>
      <c r="E193" s="74" t="n"/>
      <c r="F193" s="74" t="n"/>
    </row>
    <row r="194" ht="12.75" customHeight="1" s="58">
      <c r="A194" s="74" t="n"/>
      <c r="B194" s="74" t="n"/>
      <c r="C194" s="74" t="n"/>
      <c r="D194" s="74" t="n"/>
      <c r="E194" s="74" t="n"/>
      <c r="F194" s="74" t="n"/>
    </row>
    <row r="195" ht="12.75" customHeight="1" s="58">
      <c r="A195" s="74" t="n"/>
      <c r="B195" s="74" t="n"/>
      <c r="C195" s="74" t="n"/>
      <c r="D195" s="74" t="n"/>
      <c r="E195" s="74" t="n"/>
      <c r="F195" s="74" t="n"/>
    </row>
    <row r="196" ht="12.75" customHeight="1" s="58">
      <c r="A196" s="74" t="n"/>
      <c r="B196" s="74" t="n"/>
      <c r="C196" s="74" t="n"/>
      <c r="D196" s="74" t="n"/>
      <c r="E196" s="74" t="n"/>
      <c r="F196" s="74" t="n"/>
    </row>
    <row r="197" ht="12.75" customHeight="1" s="58">
      <c r="A197" s="74" t="n"/>
      <c r="B197" s="74" t="n"/>
      <c r="C197" s="74" t="n"/>
      <c r="D197" s="74" t="n"/>
      <c r="E197" s="74" t="n"/>
      <c r="F197" s="74" t="n"/>
    </row>
    <row r="198" ht="12.75" customHeight="1" s="58">
      <c r="A198" s="74" t="n"/>
      <c r="B198" s="74" t="n"/>
      <c r="C198" s="74" t="n"/>
      <c r="D198" s="74" t="n"/>
      <c r="E198" s="74" t="n"/>
      <c r="F198" s="74" t="n"/>
    </row>
    <row r="199" ht="12.75" customHeight="1" s="58">
      <c r="A199" s="74" t="n"/>
      <c r="B199" s="74" t="n"/>
      <c r="C199" s="74" t="n"/>
      <c r="D199" s="74" t="n"/>
      <c r="E199" s="74" t="n"/>
      <c r="F199" s="74" t="n"/>
    </row>
    <row r="200" ht="12.75" customHeight="1" s="58">
      <c r="A200" s="74" t="n"/>
      <c r="B200" s="74" t="n"/>
      <c r="C200" s="74" t="n"/>
      <c r="D200" s="74" t="n"/>
      <c r="E200" s="74" t="n"/>
      <c r="F200" s="74" t="n"/>
    </row>
    <row r="201" ht="12.75" customHeight="1" s="58">
      <c r="A201" s="74" t="n"/>
      <c r="B201" s="74" t="n"/>
      <c r="C201" s="74" t="n"/>
      <c r="D201" s="74" t="n"/>
      <c r="E201" s="74" t="n"/>
      <c r="F201" s="74" t="n"/>
    </row>
    <row r="202" ht="12.75" customHeight="1" s="58">
      <c r="A202" s="74" t="n"/>
      <c r="B202" s="74" t="n"/>
      <c r="C202" s="74" t="n"/>
      <c r="D202" s="74" t="n"/>
      <c r="E202" s="74" t="n"/>
      <c r="F202" s="74" t="n"/>
    </row>
    <row r="203" ht="12.75" customHeight="1" s="58">
      <c r="A203" s="74" t="n"/>
      <c r="B203" s="74" t="n"/>
      <c r="C203" s="74" t="n"/>
      <c r="D203" s="74" t="n"/>
      <c r="E203" s="74" t="n"/>
      <c r="F203" s="74" t="n"/>
    </row>
    <row r="204" ht="12.75" customHeight="1" s="58">
      <c r="A204" s="74" t="n"/>
      <c r="B204" s="74" t="n"/>
      <c r="C204" s="74" t="n"/>
      <c r="D204" s="74" t="n"/>
      <c r="E204" s="74" t="n"/>
      <c r="F204" s="74" t="n"/>
    </row>
    <row r="205" ht="12.75" customHeight="1" s="58">
      <c r="A205" s="74" t="n"/>
      <c r="B205" s="74" t="n"/>
      <c r="C205" s="74" t="n"/>
      <c r="D205" s="74" t="n"/>
      <c r="E205" s="74" t="n"/>
      <c r="F205" s="74" t="n"/>
    </row>
    <row r="206" ht="12.75" customHeight="1" s="58">
      <c r="A206" s="74" t="n"/>
      <c r="B206" s="74" t="n"/>
      <c r="C206" s="74" t="n"/>
      <c r="D206" s="74" t="n"/>
      <c r="E206" s="74" t="n"/>
      <c r="F206" s="74" t="n"/>
    </row>
    <row r="207" ht="12.75" customHeight="1" s="58">
      <c r="A207" s="74" t="n"/>
      <c r="B207" s="74" t="n"/>
      <c r="C207" s="74" t="n"/>
      <c r="D207" s="74" t="n"/>
      <c r="E207" s="74" t="n"/>
      <c r="F207" s="74" t="n"/>
    </row>
    <row r="208" ht="12.75" customHeight="1" s="58">
      <c r="A208" s="74" t="n"/>
      <c r="B208" s="74" t="n"/>
      <c r="C208" s="74" t="n"/>
      <c r="D208" s="74" t="n"/>
      <c r="E208" s="74" t="n"/>
      <c r="F208" s="74" t="n"/>
    </row>
    <row r="209" ht="12.75" customHeight="1" s="58">
      <c r="A209" s="74" t="n"/>
      <c r="B209" s="74" t="n"/>
      <c r="C209" s="74" t="n"/>
      <c r="D209" s="74" t="n"/>
      <c r="E209" s="74" t="n"/>
      <c r="F209" s="74" t="n"/>
    </row>
    <row r="210" ht="12.75" customHeight="1" s="58">
      <c r="A210" s="74" t="n"/>
      <c r="B210" s="74" t="n"/>
      <c r="C210" s="74" t="n"/>
      <c r="D210" s="74" t="n"/>
      <c r="E210" s="74" t="n"/>
      <c r="F210" s="74" t="n"/>
    </row>
    <row r="211" ht="12.75" customHeight="1" s="58">
      <c r="A211" s="74" t="n"/>
      <c r="B211" s="74" t="n"/>
      <c r="C211" s="74" t="n"/>
      <c r="D211" s="74" t="n"/>
      <c r="E211" s="74" t="n"/>
      <c r="F211" s="74" t="n"/>
    </row>
    <row r="212" ht="12.75" customHeight="1" s="58">
      <c r="A212" s="74" t="n"/>
      <c r="B212" s="74" t="n"/>
      <c r="C212" s="74" t="n"/>
      <c r="D212" s="74" t="n"/>
      <c r="E212" s="74" t="n"/>
      <c r="F212" s="74" t="n"/>
    </row>
    <row r="213" ht="12.75" customHeight="1" s="58">
      <c r="A213" s="74" t="n"/>
      <c r="B213" s="74" t="n"/>
      <c r="C213" s="74" t="n"/>
      <c r="D213" s="74" t="n"/>
      <c r="E213" s="74" t="n"/>
      <c r="F213" s="74" t="n"/>
    </row>
    <row r="214" ht="12.75" customHeight="1" s="58">
      <c r="A214" s="74" t="n"/>
      <c r="B214" s="74" t="n"/>
      <c r="C214" s="74" t="n"/>
      <c r="D214" s="74" t="n"/>
      <c r="E214" s="74" t="n"/>
      <c r="F214" s="74" t="n"/>
    </row>
    <row r="215" ht="12.75" customHeight="1" s="58">
      <c r="A215" s="74" t="n"/>
      <c r="B215" s="74" t="n"/>
      <c r="C215" s="74" t="n"/>
      <c r="D215" s="74" t="n"/>
      <c r="E215" s="74" t="n"/>
      <c r="F215" s="74" t="n"/>
    </row>
    <row r="216" ht="12.75" customHeight="1" s="58">
      <c r="A216" s="74" t="n"/>
      <c r="B216" s="74" t="n"/>
      <c r="C216" s="74" t="n"/>
      <c r="D216" s="74" t="n"/>
      <c r="E216" s="74" t="n"/>
      <c r="F216" s="74" t="n"/>
    </row>
    <row r="217" ht="12.75" customHeight="1" s="58">
      <c r="A217" s="74" t="n"/>
      <c r="B217" s="74" t="n"/>
      <c r="C217" s="74" t="n"/>
      <c r="D217" s="74" t="n"/>
      <c r="E217" s="74" t="n"/>
      <c r="F217" s="74" t="n"/>
    </row>
    <row r="218" ht="12.75" customHeight="1" s="58">
      <c r="A218" s="74" t="n"/>
      <c r="B218" s="74" t="n"/>
      <c r="C218" s="74" t="n"/>
      <c r="D218" s="74" t="n"/>
      <c r="E218" s="74" t="n"/>
      <c r="F218" s="74" t="n"/>
    </row>
    <row r="219" ht="12.75" customHeight="1" s="58">
      <c r="A219" s="74" t="n"/>
      <c r="B219" s="74" t="n"/>
      <c r="C219" s="74" t="n"/>
      <c r="D219" s="74" t="n"/>
      <c r="E219" s="74" t="n"/>
      <c r="F219" s="74" t="n"/>
    </row>
    <row r="220" ht="12.75" customHeight="1" s="58">
      <c r="A220" s="74" t="n"/>
      <c r="B220" s="74" t="n"/>
      <c r="C220" s="74" t="n"/>
      <c r="D220" s="74" t="n"/>
      <c r="E220" s="74" t="n"/>
      <c r="F220" s="74" t="n"/>
    </row>
    <row r="221" ht="12.75" customHeight="1" s="58">
      <c r="A221" s="74" t="n"/>
      <c r="B221" s="74" t="n"/>
      <c r="C221" s="74" t="n"/>
      <c r="D221" s="74" t="n"/>
      <c r="E221" s="74" t="n"/>
      <c r="F221" s="74" t="n"/>
    </row>
    <row r="222" ht="12.75" customHeight="1" s="58">
      <c r="A222" s="74" t="n"/>
      <c r="B222" s="74" t="n"/>
      <c r="C222" s="74" t="n"/>
      <c r="D222" s="74" t="n"/>
      <c r="E222" s="74" t="n"/>
      <c r="F222" s="74" t="n"/>
    </row>
    <row r="223" ht="12.75" customHeight="1" s="58">
      <c r="A223" s="74" t="n"/>
      <c r="B223" s="74" t="n"/>
      <c r="C223" s="74" t="n"/>
      <c r="D223" s="74" t="n"/>
      <c r="E223" s="74" t="n"/>
      <c r="F223" s="74" t="n"/>
    </row>
    <row r="224" ht="12.75" customHeight="1" s="58">
      <c r="A224" s="74" t="n"/>
      <c r="B224" s="74" t="n"/>
      <c r="C224" s="74" t="n"/>
      <c r="D224" s="74" t="n"/>
      <c r="E224" s="74" t="n"/>
      <c r="F224" s="74" t="n"/>
    </row>
    <row r="225" ht="12.75" customHeight="1" s="58">
      <c r="A225" s="74" t="n"/>
      <c r="B225" s="74" t="n"/>
      <c r="C225" s="74" t="n"/>
      <c r="D225" s="74" t="n"/>
      <c r="E225" s="74" t="n"/>
      <c r="F225" s="74" t="n"/>
    </row>
    <row r="226" ht="12.75" customHeight="1" s="58">
      <c r="A226" s="74" t="n"/>
      <c r="B226" s="74" t="n"/>
      <c r="C226" s="74" t="n"/>
      <c r="D226" s="74" t="n"/>
      <c r="E226" s="74" t="n"/>
      <c r="F226" s="74" t="n"/>
    </row>
    <row r="227" ht="12.75" customHeight="1" s="58">
      <c r="A227" s="74" t="n"/>
      <c r="B227" s="74" t="n"/>
      <c r="C227" s="74" t="n"/>
      <c r="D227" s="74" t="n"/>
      <c r="E227" s="74" t="n"/>
      <c r="F227" s="74" t="n"/>
    </row>
    <row r="228" ht="12.75" customHeight="1" s="58">
      <c r="A228" s="74" t="n"/>
      <c r="B228" s="74" t="n"/>
      <c r="C228" s="74" t="n"/>
      <c r="D228" s="74" t="n"/>
      <c r="E228" s="74" t="n"/>
      <c r="F228" s="74" t="n"/>
    </row>
    <row r="229" ht="12.75" customHeight="1" s="58">
      <c r="A229" s="74" t="n"/>
      <c r="B229" s="74" t="n"/>
      <c r="C229" s="74" t="n"/>
      <c r="D229" s="74" t="n"/>
      <c r="E229" s="74" t="n"/>
      <c r="F229" s="74" t="n"/>
    </row>
    <row r="230" ht="12.75" customHeight="1" s="58">
      <c r="A230" s="74" t="n"/>
      <c r="B230" s="74" t="n"/>
      <c r="C230" s="74" t="n"/>
      <c r="D230" s="74" t="n"/>
      <c r="E230" s="74" t="n"/>
      <c r="F230" s="74" t="n"/>
    </row>
    <row r="231" ht="12.75" customHeight="1" s="58">
      <c r="A231" s="74" t="n"/>
      <c r="B231" s="74" t="n"/>
      <c r="C231" s="74" t="n"/>
      <c r="D231" s="74" t="n"/>
      <c r="E231" s="74" t="n"/>
      <c r="F231" s="74" t="n"/>
    </row>
    <row r="232" ht="12.75" customHeight="1" s="58">
      <c r="A232" s="74" t="n"/>
      <c r="B232" s="74" t="n"/>
      <c r="C232" s="74" t="n"/>
      <c r="D232" s="74" t="n"/>
      <c r="E232" s="74" t="n"/>
      <c r="F232" s="74" t="n"/>
    </row>
    <row r="233" ht="12.75" customHeight="1" s="58">
      <c r="A233" s="74" t="n"/>
      <c r="B233" s="74" t="n"/>
      <c r="C233" s="74" t="n"/>
      <c r="D233" s="74" t="n"/>
      <c r="E233" s="74" t="n"/>
      <c r="F233" s="74" t="n"/>
    </row>
    <row r="234" ht="12.75" customHeight="1" s="58">
      <c r="A234" s="74" t="n"/>
      <c r="B234" s="74" t="n"/>
      <c r="C234" s="74" t="n"/>
      <c r="D234" s="74" t="n"/>
      <c r="E234" s="74" t="n"/>
      <c r="F234" s="74" t="n"/>
    </row>
    <row r="235" ht="12.75" customHeight="1" s="58">
      <c r="A235" s="74" t="n"/>
      <c r="B235" s="74" t="n"/>
      <c r="C235" s="74" t="n"/>
      <c r="D235" s="74" t="n"/>
      <c r="E235" s="74" t="n"/>
      <c r="F235" s="74" t="n"/>
    </row>
    <row r="236" ht="12.75" customHeight="1" s="58">
      <c r="A236" s="74" t="n"/>
      <c r="B236" s="74" t="n"/>
      <c r="C236" s="74" t="n"/>
      <c r="D236" s="74" t="n"/>
      <c r="E236" s="74" t="n"/>
      <c r="F236" s="74" t="n"/>
    </row>
    <row r="237" ht="12.75" customHeight="1" s="58">
      <c r="A237" s="74" t="n"/>
      <c r="B237" s="74" t="n"/>
      <c r="C237" s="74" t="n"/>
      <c r="D237" s="74" t="n"/>
      <c r="E237" s="74" t="n"/>
      <c r="F237" s="74" t="n"/>
    </row>
    <row r="238" ht="12.75" customHeight="1" s="58">
      <c r="A238" s="74" t="n"/>
      <c r="B238" s="74" t="n"/>
      <c r="C238" s="74" t="n"/>
      <c r="D238" s="74" t="n"/>
      <c r="E238" s="74" t="n"/>
      <c r="F238" s="74" t="n"/>
    </row>
    <row r="239" ht="12.75" customHeight="1" s="58">
      <c r="A239" s="74" t="n"/>
      <c r="B239" s="74" t="n"/>
      <c r="C239" s="74" t="n"/>
      <c r="D239" s="74" t="n"/>
      <c r="E239" s="74" t="n"/>
      <c r="F239" s="74" t="n"/>
    </row>
    <row r="240" ht="12.75" customHeight="1" s="58">
      <c r="A240" s="74" t="n"/>
      <c r="B240" s="74" t="n"/>
      <c r="C240" s="74" t="n"/>
      <c r="D240" s="74" t="n"/>
      <c r="E240" s="74" t="n"/>
      <c r="F240" s="74" t="n"/>
    </row>
    <row r="241" ht="12.75" customHeight="1" s="58">
      <c r="A241" s="74" t="n"/>
      <c r="B241" s="74" t="n"/>
      <c r="C241" s="74" t="n"/>
      <c r="D241" s="74" t="n"/>
      <c r="E241" s="74" t="n"/>
      <c r="F241" s="74" t="n"/>
    </row>
    <row r="242" ht="12.75" customHeight="1" s="58">
      <c r="A242" s="74" t="n"/>
      <c r="B242" s="74" t="n"/>
      <c r="C242" s="74" t="n"/>
      <c r="D242" s="74" t="n"/>
      <c r="E242" s="74" t="n"/>
      <c r="F242" s="74" t="n"/>
    </row>
    <row r="243" ht="12.75" customHeight="1" s="58">
      <c r="A243" s="74" t="n"/>
      <c r="B243" s="74" t="n"/>
      <c r="C243" s="74" t="n"/>
      <c r="D243" s="74" t="n"/>
      <c r="E243" s="74" t="n"/>
      <c r="F243" s="74" t="n"/>
    </row>
    <row r="244" ht="12.75" customHeight="1" s="58">
      <c r="A244" s="74" t="n"/>
      <c r="B244" s="74" t="n"/>
      <c r="C244" s="74" t="n"/>
      <c r="D244" s="74" t="n"/>
      <c r="E244" s="74" t="n"/>
      <c r="F244" s="74" t="n"/>
    </row>
    <row r="245" ht="12.75" customHeight="1" s="58">
      <c r="A245" s="74" t="n"/>
      <c r="B245" s="74" t="n"/>
      <c r="C245" s="74" t="n"/>
      <c r="D245" s="74" t="n"/>
      <c r="E245" s="74" t="n"/>
      <c r="F245" s="74" t="n"/>
    </row>
    <row r="246" ht="12.75" customHeight="1" s="58">
      <c r="A246" s="74" t="n"/>
      <c r="B246" s="74" t="n"/>
      <c r="C246" s="74" t="n"/>
      <c r="D246" s="74" t="n"/>
      <c r="E246" s="74" t="n"/>
      <c r="F246" s="74" t="n"/>
    </row>
    <row r="247" ht="12.75" customHeight="1" s="58">
      <c r="A247" s="74" t="n"/>
      <c r="B247" s="74" t="n"/>
      <c r="C247" s="74" t="n"/>
      <c r="D247" s="74" t="n"/>
      <c r="E247" s="74" t="n"/>
      <c r="F247" s="74" t="n"/>
    </row>
    <row r="248" ht="12.75" customHeight="1" s="58">
      <c r="A248" s="74" t="n"/>
      <c r="B248" s="74" t="n"/>
      <c r="C248" s="74" t="n"/>
      <c r="D248" s="74" t="n"/>
      <c r="E248" s="74" t="n"/>
      <c r="F248" s="74" t="n"/>
    </row>
    <row r="249" ht="12.75" customHeight="1" s="58">
      <c r="A249" s="74" t="n"/>
      <c r="B249" s="74" t="n"/>
      <c r="C249" s="74" t="n"/>
      <c r="D249" s="74" t="n"/>
      <c r="E249" s="74" t="n"/>
      <c r="F249" s="74" t="n"/>
    </row>
    <row r="250" ht="12.75" customHeight="1" s="58">
      <c r="A250" s="74" t="n"/>
      <c r="B250" s="74" t="n"/>
      <c r="C250" s="74" t="n"/>
      <c r="D250" s="74" t="n"/>
      <c r="E250" s="74" t="n"/>
      <c r="F250" s="74" t="n"/>
    </row>
    <row r="251" ht="12.75" customHeight="1" s="58">
      <c r="A251" s="74" t="n"/>
      <c r="B251" s="74" t="n"/>
      <c r="C251" s="74" t="n"/>
      <c r="D251" s="74" t="n"/>
      <c r="E251" s="74" t="n"/>
      <c r="F251" s="74" t="n"/>
    </row>
    <row r="252" ht="12.75" customHeight="1" s="58">
      <c r="A252" s="74" t="n"/>
      <c r="B252" s="74" t="n"/>
      <c r="C252" s="74" t="n"/>
      <c r="D252" s="74" t="n"/>
      <c r="E252" s="74" t="n"/>
      <c r="F252" s="74" t="n"/>
    </row>
    <row r="253" ht="12.75" customHeight="1" s="58">
      <c r="A253" s="74" t="n"/>
      <c r="B253" s="74" t="n"/>
      <c r="C253" s="74" t="n"/>
      <c r="D253" s="74" t="n"/>
      <c r="E253" s="74" t="n"/>
      <c r="F253" s="74" t="n"/>
    </row>
    <row r="254" ht="12.75" customHeight="1" s="58">
      <c r="A254" s="74" t="n"/>
      <c r="B254" s="74" t="n"/>
      <c r="C254" s="74" t="n"/>
      <c r="D254" s="74" t="n"/>
      <c r="E254" s="74" t="n"/>
      <c r="F254" s="74" t="n"/>
    </row>
    <row r="255" ht="12.75" customHeight="1" s="58">
      <c r="A255" s="74" t="n"/>
      <c r="B255" s="74" t="n"/>
      <c r="C255" s="74" t="n"/>
      <c r="D255" s="74" t="n"/>
      <c r="E255" s="74" t="n"/>
      <c r="F255" s="74" t="n"/>
    </row>
    <row r="256" ht="12.75" customHeight="1" s="58">
      <c r="A256" s="74" t="n"/>
      <c r="B256" s="74" t="n"/>
      <c r="C256" s="74" t="n"/>
      <c r="D256" s="74" t="n"/>
      <c r="E256" s="74" t="n"/>
      <c r="F256" s="74" t="n"/>
    </row>
    <row r="257" ht="12.75" customHeight="1" s="58">
      <c r="A257" s="74" t="n"/>
      <c r="B257" s="74" t="n"/>
      <c r="C257" s="74" t="n"/>
      <c r="D257" s="74" t="n"/>
      <c r="E257" s="74" t="n"/>
      <c r="F257" s="74" t="n"/>
    </row>
    <row r="258" ht="12.75" customHeight="1" s="58">
      <c r="A258" s="74" t="n"/>
      <c r="B258" s="74" t="n"/>
      <c r="C258" s="74" t="n"/>
      <c r="D258" s="74" t="n"/>
      <c r="E258" s="74" t="n"/>
      <c r="F258" s="74" t="n"/>
    </row>
    <row r="259" ht="12.75" customHeight="1" s="58">
      <c r="A259" s="74" t="n"/>
      <c r="B259" s="74" t="n"/>
      <c r="C259" s="74" t="n"/>
      <c r="D259" s="74" t="n"/>
      <c r="E259" s="74" t="n"/>
      <c r="F259" s="74" t="n"/>
    </row>
    <row r="260" ht="12.75" customHeight="1" s="58">
      <c r="A260" s="74" t="n"/>
      <c r="B260" s="74" t="n"/>
      <c r="C260" s="74" t="n"/>
      <c r="D260" s="74" t="n"/>
      <c r="E260" s="74" t="n"/>
      <c r="F260" s="74" t="n"/>
    </row>
    <row r="261" ht="12.75" customHeight="1" s="58">
      <c r="A261" s="74" t="n"/>
      <c r="B261" s="74" t="n"/>
      <c r="C261" s="74" t="n"/>
      <c r="D261" s="74" t="n"/>
      <c r="E261" s="74" t="n"/>
      <c r="F261" s="74" t="n"/>
    </row>
    <row r="262" ht="12.75" customHeight="1" s="58">
      <c r="A262" s="74" t="n"/>
      <c r="B262" s="74" t="n"/>
      <c r="C262" s="74" t="n"/>
      <c r="D262" s="74" t="n"/>
      <c r="E262" s="74" t="n"/>
      <c r="F262" s="74" t="n"/>
    </row>
    <row r="263" ht="12.75" customHeight="1" s="58">
      <c r="A263" s="74" t="n"/>
      <c r="B263" s="74" t="n"/>
      <c r="C263" s="74" t="n"/>
      <c r="D263" s="74" t="n"/>
      <c r="E263" s="74" t="n"/>
      <c r="F263" s="74" t="n"/>
    </row>
    <row r="264" ht="12.75" customHeight="1" s="58">
      <c r="A264" s="74" t="n"/>
      <c r="B264" s="74" t="n"/>
      <c r="C264" s="74" t="n"/>
      <c r="D264" s="74" t="n"/>
      <c r="E264" s="74" t="n"/>
      <c r="F264" s="74" t="n"/>
    </row>
    <row r="265" ht="12.75" customHeight="1" s="58">
      <c r="A265" s="74" t="n"/>
      <c r="B265" s="74" t="n"/>
      <c r="C265" s="74" t="n"/>
      <c r="D265" s="74" t="n"/>
      <c r="E265" s="74" t="n"/>
      <c r="F265" s="74" t="n"/>
    </row>
    <row r="266" ht="12.75" customHeight="1" s="58">
      <c r="A266" s="74" t="n"/>
      <c r="B266" s="74" t="n"/>
      <c r="C266" s="74" t="n"/>
      <c r="D266" s="74" t="n"/>
      <c r="E266" s="74" t="n"/>
      <c r="F266" s="74" t="n"/>
    </row>
    <row r="267" ht="12.75" customHeight="1" s="58">
      <c r="A267" s="74" t="n"/>
      <c r="B267" s="74" t="n"/>
      <c r="C267" s="74" t="n"/>
      <c r="D267" s="74" t="n"/>
      <c r="E267" s="74" t="n"/>
      <c r="F267" s="74" t="n"/>
    </row>
    <row r="268" ht="12.75" customHeight="1" s="58">
      <c r="A268" s="74" t="n"/>
      <c r="B268" s="74" t="n"/>
      <c r="C268" s="74" t="n"/>
      <c r="D268" s="74" t="n"/>
      <c r="E268" s="74" t="n"/>
      <c r="F268" s="74" t="n"/>
    </row>
    <row r="269" ht="12.75" customHeight="1" s="58">
      <c r="A269" s="74" t="n"/>
      <c r="B269" s="74" t="n"/>
      <c r="C269" s="74" t="n"/>
      <c r="D269" s="74" t="n"/>
      <c r="E269" s="74" t="n"/>
      <c r="F269" s="74" t="n"/>
    </row>
    <row r="270" ht="12.75" customHeight="1" s="58">
      <c r="A270" s="74" t="n"/>
      <c r="B270" s="74" t="n"/>
      <c r="C270" s="74" t="n"/>
      <c r="D270" s="74" t="n"/>
      <c r="E270" s="74" t="n"/>
      <c r="F270" s="74" t="n"/>
    </row>
    <row r="271" ht="12.75" customHeight="1" s="58">
      <c r="A271" s="74" t="n"/>
      <c r="B271" s="74" t="n"/>
      <c r="C271" s="74" t="n"/>
      <c r="D271" s="74" t="n"/>
      <c r="E271" s="74" t="n"/>
      <c r="F271" s="74" t="n"/>
    </row>
    <row r="272" ht="12.75" customHeight="1" s="58">
      <c r="A272" s="74" t="n"/>
      <c r="B272" s="74" t="n"/>
      <c r="C272" s="74" t="n"/>
      <c r="D272" s="74" t="n"/>
      <c r="E272" s="74" t="n"/>
      <c r="F272" s="74" t="n"/>
    </row>
    <row r="273" ht="12.75" customHeight="1" s="58">
      <c r="A273" s="74" t="n"/>
      <c r="B273" s="74" t="n"/>
      <c r="C273" s="74" t="n"/>
      <c r="D273" s="74" t="n"/>
      <c r="E273" s="74" t="n"/>
      <c r="F273" s="74" t="n"/>
    </row>
    <row r="274" ht="12.75" customHeight="1" s="58">
      <c r="A274" s="74" t="n"/>
      <c r="B274" s="74" t="n"/>
      <c r="C274" s="74" t="n"/>
      <c r="D274" s="74" t="n"/>
      <c r="E274" s="74" t="n"/>
      <c r="F274" s="74" t="n"/>
    </row>
    <row r="275" ht="12.75" customHeight="1" s="58">
      <c r="A275" s="74" t="n"/>
      <c r="B275" s="74" t="n"/>
      <c r="C275" s="74" t="n"/>
      <c r="D275" s="74" t="n"/>
      <c r="E275" s="74" t="n"/>
      <c r="F275" s="74" t="n"/>
    </row>
    <row r="276" ht="12.75" customHeight="1" s="58">
      <c r="A276" s="74" t="n"/>
      <c r="B276" s="74" t="n"/>
      <c r="C276" s="74" t="n"/>
      <c r="D276" s="74" t="n"/>
      <c r="E276" s="74" t="n"/>
      <c r="F276" s="74" t="n"/>
    </row>
    <row r="277" ht="12.75" customHeight="1" s="58">
      <c r="A277" s="74" t="n"/>
      <c r="B277" s="74" t="n"/>
      <c r="C277" s="74" t="n"/>
      <c r="D277" s="74" t="n"/>
      <c r="E277" s="74" t="n"/>
      <c r="F277" s="74" t="n"/>
    </row>
    <row r="278" ht="12.75" customHeight="1" s="58">
      <c r="A278" s="74" t="n"/>
      <c r="B278" s="74" t="n"/>
      <c r="C278" s="74" t="n"/>
      <c r="D278" s="74" t="n"/>
      <c r="E278" s="74" t="n"/>
      <c r="F278" s="74" t="n"/>
    </row>
    <row r="279" ht="12.75" customHeight="1" s="58">
      <c r="A279" s="74" t="n"/>
      <c r="B279" s="74" t="n"/>
      <c r="C279" s="74" t="n"/>
      <c r="D279" s="74" t="n"/>
      <c r="E279" s="74" t="n"/>
      <c r="F279" s="74" t="n"/>
    </row>
    <row r="280" ht="12.75" customHeight="1" s="58">
      <c r="A280" s="74" t="n"/>
      <c r="B280" s="74" t="n"/>
      <c r="C280" s="74" t="n"/>
      <c r="D280" s="74" t="n"/>
      <c r="E280" s="74" t="n"/>
      <c r="F280" s="74" t="n"/>
    </row>
    <row r="281" ht="12.75" customHeight="1" s="58">
      <c r="A281" s="74" t="n"/>
      <c r="B281" s="74" t="n"/>
      <c r="C281" s="74" t="n"/>
      <c r="D281" s="74" t="n"/>
      <c r="E281" s="74" t="n"/>
      <c r="F281" s="74" t="n"/>
    </row>
    <row r="282" ht="12.75" customHeight="1" s="58">
      <c r="A282" s="74" t="n"/>
      <c r="B282" s="74" t="n"/>
      <c r="C282" s="74" t="n"/>
      <c r="D282" s="74" t="n"/>
      <c r="E282" s="74" t="n"/>
      <c r="F282" s="74" t="n"/>
    </row>
    <row r="283" ht="12.75" customHeight="1" s="58">
      <c r="A283" s="74" t="n"/>
      <c r="B283" s="74" t="n"/>
      <c r="C283" s="74" t="n"/>
      <c r="D283" s="74" t="n"/>
      <c r="E283" s="74" t="n"/>
      <c r="F283" s="74" t="n"/>
    </row>
    <row r="284" ht="12.75" customHeight="1" s="58">
      <c r="A284" s="74" t="n"/>
      <c r="B284" s="74" t="n"/>
      <c r="C284" s="74" t="n"/>
      <c r="D284" s="74" t="n"/>
      <c r="E284" s="74" t="n"/>
      <c r="F284" s="74" t="n"/>
    </row>
    <row r="285" ht="12.75" customHeight="1" s="58">
      <c r="A285" s="74" t="n"/>
      <c r="B285" s="74" t="n"/>
      <c r="C285" s="74" t="n"/>
      <c r="D285" s="74" t="n"/>
      <c r="E285" s="74" t="n"/>
      <c r="F285" s="74" t="n"/>
    </row>
    <row r="286" ht="12.75" customHeight="1" s="58">
      <c r="A286" s="74" t="n"/>
      <c r="B286" s="74" t="n"/>
      <c r="C286" s="74" t="n"/>
      <c r="D286" s="74" t="n"/>
      <c r="E286" s="74" t="n"/>
      <c r="F286" s="74" t="n"/>
    </row>
    <row r="287" ht="12.75" customHeight="1" s="58">
      <c r="A287" s="74" t="n"/>
      <c r="B287" s="74" t="n"/>
      <c r="C287" s="74" t="n"/>
      <c r="D287" s="74" t="n"/>
      <c r="E287" s="74" t="n"/>
      <c r="F287" s="74" t="n"/>
    </row>
    <row r="288" ht="12.75" customHeight="1" s="58">
      <c r="A288" s="74" t="n"/>
      <c r="B288" s="74" t="n"/>
      <c r="C288" s="74" t="n"/>
      <c r="D288" s="74" t="n"/>
      <c r="E288" s="74" t="n"/>
      <c r="F288" s="74" t="n"/>
    </row>
    <row r="289" ht="12.75" customHeight="1" s="58">
      <c r="A289" s="74" t="n"/>
      <c r="B289" s="74" t="n"/>
      <c r="C289" s="74" t="n"/>
      <c r="D289" s="74" t="n"/>
      <c r="E289" s="74" t="n"/>
      <c r="F289" s="74" t="n"/>
    </row>
    <row r="290" ht="12.75" customHeight="1" s="58">
      <c r="A290" s="74" t="n"/>
      <c r="B290" s="74" t="n"/>
      <c r="C290" s="74" t="n"/>
      <c r="D290" s="74" t="n"/>
      <c r="E290" s="74" t="n"/>
      <c r="F290" s="74" t="n"/>
    </row>
    <row r="291" ht="12.75" customHeight="1" s="58">
      <c r="A291" s="74" t="n"/>
      <c r="B291" s="74" t="n"/>
      <c r="C291" s="74" t="n"/>
      <c r="D291" s="74" t="n"/>
      <c r="E291" s="74" t="n"/>
      <c r="F291" s="74" t="n"/>
    </row>
    <row r="292" ht="12.75" customHeight="1" s="58">
      <c r="A292" s="74" t="n"/>
      <c r="B292" s="74" t="n"/>
      <c r="C292" s="74" t="n"/>
      <c r="D292" s="74" t="n"/>
      <c r="E292" s="74" t="n"/>
      <c r="F292" s="74" t="n"/>
    </row>
    <row r="293" ht="12.75" customHeight="1" s="58">
      <c r="A293" s="74" t="n"/>
      <c r="B293" s="74" t="n"/>
      <c r="C293" s="74" t="n"/>
      <c r="D293" s="74" t="n"/>
      <c r="E293" s="74" t="n"/>
      <c r="F293" s="74" t="n"/>
    </row>
    <row r="294" ht="12.75" customHeight="1" s="58">
      <c r="A294" s="74" t="n"/>
      <c r="B294" s="74" t="n"/>
      <c r="C294" s="74" t="n"/>
      <c r="D294" s="74" t="n"/>
      <c r="E294" s="74" t="n"/>
      <c r="F294" s="74" t="n"/>
    </row>
    <row r="295" ht="12.75" customHeight="1" s="58">
      <c r="A295" s="74" t="n"/>
      <c r="B295" s="74" t="n"/>
      <c r="C295" s="74" t="n"/>
      <c r="D295" s="74" t="n"/>
      <c r="E295" s="74" t="n"/>
      <c r="F295" s="74" t="n"/>
    </row>
    <row r="296" ht="12.75" customHeight="1" s="58">
      <c r="A296" s="74" t="n"/>
      <c r="B296" s="74" t="n"/>
      <c r="C296" s="74" t="n"/>
      <c r="D296" s="74" t="n"/>
      <c r="E296" s="74" t="n"/>
      <c r="F296" s="74" t="n"/>
    </row>
    <row r="297" ht="12.75" customHeight="1" s="58">
      <c r="A297" s="74" t="n"/>
      <c r="B297" s="74" t="n"/>
      <c r="C297" s="74" t="n"/>
      <c r="D297" s="74" t="n"/>
      <c r="E297" s="74" t="n"/>
      <c r="F297" s="74" t="n"/>
    </row>
    <row r="298" ht="12.75" customHeight="1" s="58">
      <c r="A298" s="74" t="n"/>
      <c r="B298" s="74" t="n"/>
      <c r="C298" s="74" t="n"/>
      <c r="D298" s="74" t="n"/>
      <c r="E298" s="74" t="n"/>
      <c r="F298" s="74" t="n"/>
    </row>
    <row r="299" ht="12.75" customHeight="1" s="58">
      <c r="A299" s="74" t="n"/>
      <c r="B299" s="74" t="n"/>
      <c r="C299" s="74" t="n"/>
      <c r="D299" s="74" t="n"/>
      <c r="E299" s="74" t="n"/>
      <c r="F299" s="74" t="n"/>
    </row>
    <row r="300" ht="12.75" customHeight="1" s="58">
      <c r="A300" s="74" t="n"/>
      <c r="B300" s="74" t="n"/>
      <c r="C300" s="74" t="n"/>
      <c r="D300" s="74" t="n"/>
      <c r="E300" s="74" t="n"/>
      <c r="F300" s="74" t="n"/>
    </row>
    <row r="301" ht="12.75" customHeight="1" s="58">
      <c r="A301" s="74" t="n"/>
      <c r="B301" s="74" t="n"/>
      <c r="C301" s="74" t="n"/>
      <c r="D301" s="74" t="n"/>
      <c r="E301" s="74" t="n"/>
      <c r="F301" s="74" t="n"/>
    </row>
    <row r="302" ht="12.75" customHeight="1" s="58">
      <c r="A302" s="74" t="n"/>
      <c r="B302" s="74" t="n"/>
      <c r="C302" s="74" t="n"/>
      <c r="D302" s="74" t="n"/>
      <c r="E302" s="74" t="n"/>
      <c r="F302" s="74" t="n"/>
    </row>
    <row r="303" ht="12.75" customHeight="1" s="58">
      <c r="A303" s="74" t="n"/>
      <c r="B303" s="74" t="n"/>
      <c r="C303" s="74" t="n"/>
      <c r="D303" s="74" t="n"/>
      <c r="E303" s="74" t="n"/>
      <c r="F303" s="74" t="n"/>
    </row>
    <row r="304" ht="12.75" customHeight="1" s="58">
      <c r="A304" s="74" t="n"/>
      <c r="B304" s="74" t="n"/>
      <c r="C304" s="74" t="n"/>
      <c r="D304" s="74" t="n"/>
      <c r="E304" s="74" t="n"/>
      <c r="F304" s="74" t="n"/>
    </row>
    <row r="305" ht="12.75" customHeight="1" s="58">
      <c r="A305" s="74" t="n"/>
      <c r="B305" s="74" t="n"/>
      <c r="C305" s="74" t="n"/>
      <c r="D305" s="74" t="n"/>
      <c r="E305" s="74" t="n"/>
      <c r="F305" s="74" t="n"/>
    </row>
    <row r="306" ht="12.75" customHeight="1" s="58">
      <c r="A306" s="74" t="n"/>
      <c r="B306" s="74" t="n"/>
      <c r="C306" s="74" t="n"/>
      <c r="D306" s="74" t="n"/>
      <c r="E306" s="74" t="n"/>
      <c r="F306" s="74" t="n"/>
    </row>
    <row r="307" ht="12.75" customHeight="1" s="58">
      <c r="A307" s="74" t="n"/>
      <c r="B307" s="74" t="n"/>
      <c r="C307" s="74" t="n"/>
      <c r="D307" s="74" t="n"/>
      <c r="E307" s="74" t="n"/>
      <c r="F307" s="74" t="n"/>
    </row>
    <row r="308" ht="12.75" customHeight="1" s="58">
      <c r="A308" s="74" t="n"/>
      <c r="B308" s="74" t="n"/>
      <c r="C308" s="74" t="n"/>
      <c r="D308" s="74" t="n"/>
      <c r="E308" s="74" t="n"/>
      <c r="F308" s="74" t="n"/>
    </row>
    <row r="309" ht="12.75" customHeight="1" s="58">
      <c r="A309" s="74" t="n"/>
      <c r="B309" s="74" t="n"/>
      <c r="C309" s="74" t="n"/>
      <c r="D309" s="74" t="n"/>
      <c r="E309" s="74" t="n"/>
      <c r="F309" s="74" t="n"/>
    </row>
    <row r="310" ht="12.75" customHeight="1" s="58">
      <c r="A310" s="74" t="n"/>
      <c r="B310" s="74" t="n"/>
      <c r="C310" s="74" t="n"/>
      <c r="D310" s="74" t="n"/>
      <c r="E310" s="74" t="n"/>
      <c r="F310" s="74" t="n"/>
    </row>
    <row r="311" ht="12.75" customHeight="1" s="58">
      <c r="A311" s="74" t="n"/>
      <c r="B311" s="74" t="n"/>
      <c r="C311" s="74" t="n"/>
      <c r="D311" s="74" t="n"/>
      <c r="E311" s="74" t="n"/>
      <c r="F311" s="74" t="n"/>
    </row>
    <row r="312" ht="12.75" customHeight="1" s="58">
      <c r="A312" s="74" t="n"/>
      <c r="B312" s="74" t="n"/>
      <c r="C312" s="74" t="n"/>
      <c r="D312" s="74" t="n"/>
      <c r="E312" s="74" t="n"/>
      <c r="F312" s="74" t="n"/>
    </row>
    <row r="313" ht="12.75" customHeight="1" s="58">
      <c r="A313" s="74" t="n"/>
      <c r="B313" s="74" t="n"/>
      <c r="C313" s="74" t="n"/>
      <c r="D313" s="74" t="n"/>
      <c r="E313" s="74" t="n"/>
      <c r="F313" s="74" t="n"/>
    </row>
    <row r="314" ht="12.75" customHeight="1" s="58">
      <c r="A314" s="74" t="n"/>
      <c r="B314" s="74" t="n"/>
      <c r="C314" s="74" t="n"/>
      <c r="D314" s="74" t="n"/>
      <c r="E314" s="74" t="n"/>
      <c r="F314" s="74" t="n"/>
    </row>
    <row r="315" ht="12.75" customHeight="1" s="58">
      <c r="A315" s="74" t="n"/>
      <c r="B315" s="74" t="n"/>
      <c r="C315" s="74" t="n"/>
      <c r="D315" s="74" t="n"/>
      <c r="E315" s="74" t="n"/>
      <c r="F315" s="74" t="n"/>
    </row>
    <row r="316" ht="12.75" customHeight="1" s="58">
      <c r="A316" s="74" t="n"/>
      <c r="B316" s="74" t="n"/>
      <c r="C316" s="74" t="n"/>
      <c r="D316" s="74" t="n"/>
      <c r="E316" s="74" t="n"/>
      <c r="F316" s="74" t="n"/>
    </row>
    <row r="317" ht="12.75" customHeight="1" s="58">
      <c r="A317" s="74" t="n"/>
      <c r="B317" s="74" t="n"/>
      <c r="C317" s="74" t="n"/>
      <c r="D317" s="74" t="n"/>
      <c r="E317" s="74" t="n"/>
      <c r="F317" s="74" t="n"/>
    </row>
    <row r="318" ht="12.75" customHeight="1" s="58">
      <c r="A318" s="74" t="n"/>
      <c r="B318" s="74" t="n"/>
      <c r="C318" s="74" t="n"/>
      <c r="D318" s="74" t="n"/>
      <c r="E318" s="74" t="n"/>
      <c r="F318" s="74" t="n"/>
    </row>
    <row r="319" ht="12.75" customHeight="1" s="58">
      <c r="A319" s="74" t="n"/>
      <c r="B319" s="74" t="n"/>
      <c r="C319" s="74" t="n"/>
      <c r="D319" s="74" t="n"/>
      <c r="E319" s="74" t="n"/>
      <c r="F319" s="74" t="n"/>
    </row>
    <row r="320" ht="12.75" customHeight="1" s="58">
      <c r="A320" s="74" t="n"/>
      <c r="B320" s="74" t="n"/>
      <c r="C320" s="74" t="n"/>
      <c r="D320" s="74" t="n"/>
      <c r="E320" s="74" t="n"/>
      <c r="F320" s="74" t="n"/>
    </row>
    <row r="321" ht="12.75" customHeight="1" s="58">
      <c r="A321" s="74" t="n"/>
      <c r="B321" s="74" t="n"/>
      <c r="C321" s="74" t="n"/>
      <c r="D321" s="74" t="n"/>
      <c r="E321" s="74" t="n"/>
      <c r="F321" s="74" t="n"/>
    </row>
    <row r="322" ht="12.75" customHeight="1" s="58">
      <c r="A322" s="74" t="n"/>
      <c r="B322" s="74" t="n"/>
      <c r="C322" s="74" t="n"/>
      <c r="D322" s="74" t="n"/>
      <c r="E322" s="74" t="n"/>
      <c r="F322" s="74" t="n"/>
    </row>
    <row r="323" ht="12.75" customHeight="1" s="58">
      <c r="A323" s="74" t="n"/>
      <c r="B323" s="74" t="n"/>
      <c r="C323" s="74" t="n"/>
      <c r="D323" s="74" t="n"/>
      <c r="E323" s="74" t="n"/>
      <c r="F323" s="74" t="n"/>
    </row>
    <row r="324" ht="12.75" customHeight="1" s="58">
      <c r="A324" s="74" t="n"/>
      <c r="B324" s="74" t="n"/>
      <c r="C324" s="74" t="n"/>
      <c r="D324" s="74" t="n"/>
      <c r="E324" s="74" t="n"/>
      <c r="F324" s="74" t="n"/>
    </row>
    <row r="325" ht="12.75" customHeight="1" s="58">
      <c r="A325" s="74" t="n"/>
      <c r="B325" s="74" t="n"/>
      <c r="C325" s="74" t="n"/>
      <c r="D325" s="74" t="n"/>
      <c r="E325" s="74" t="n"/>
      <c r="F325" s="74" t="n"/>
    </row>
    <row r="326" ht="12.75" customHeight="1" s="58">
      <c r="A326" s="74" t="n"/>
      <c r="B326" s="74" t="n"/>
      <c r="C326" s="74" t="n"/>
      <c r="D326" s="74" t="n"/>
      <c r="E326" s="74" t="n"/>
      <c r="F326" s="74" t="n"/>
    </row>
    <row r="327" ht="12.75" customHeight="1" s="58">
      <c r="A327" s="74" t="n"/>
      <c r="B327" s="74" t="n"/>
      <c r="C327" s="74" t="n"/>
      <c r="D327" s="74" t="n"/>
      <c r="E327" s="74" t="n"/>
      <c r="F327" s="74" t="n"/>
    </row>
    <row r="328" ht="12.75" customHeight="1" s="58">
      <c r="A328" s="74" t="n"/>
      <c r="B328" s="74" t="n"/>
      <c r="C328" s="74" t="n"/>
      <c r="D328" s="74" t="n"/>
      <c r="E328" s="74" t="n"/>
      <c r="F328" s="74" t="n"/>
    </row>
    <row r="329" ht="12.75" customHeight="1" s="58">
      <c r="A329" s="74" t="n"/>
      <c r="B329" s="74" t="n"/>
      <c r="C329" s="74" t="n"/>
      <c r="D329" s="74" t="n"/>
      <c r="E329" s="74" t="n"/>
      <c r="F329" s="74" t="n"/>
    </row>
    <row r="330" ht="12.75" customHeight="1" s="58">
      <c r="A330" s="74" t="n"/>
      <c r="B330" s="74" t="n"/>
      <c r="C330" s="74" t="n"/>
      <c r="D330" s="74" t="n"/>
      <c r="E330" s="74" t="n"/>
      <c r="F330" s="74" t="n"/>
    </row>
    <row r="331" ht="12.75" customHeight="1" s="58">
      <c r="A331" s="74" t="n"/>
      <c r="B331" s="74" t="n"/>
      <c r="C331" s="74" t="n"/>
      <c r="D331" s="74" t="n"/>
      <c r="E331" s="74" t="n"/>
      <c r="F331" s="74" t="n"/>
    </row>
    <row r="332" ht="12.75" customHeight="1" s="58">
      <c r="A332" s="74" t="n"/>
      <c r="B332" s="74" t="n"/>
      <c r="C332" s="74" t="n"/>
      <c r="D332" s="74" t="n"/>
      <c r="E332" s="74" t="n"/>
      <c r="F332" s="74" t="n"/>
    </row>
    <row r="333" ht="12.75" customHeight="1" s="58">
      <c r="A333" s="74" t="n"/>
      <c r="B333" s="74" t="n"/>
      <c r="C333" s="74" t="n"/>
      <c r="D333" s="74" t="n"/>
      <c r="E333" s="74" t="n"/>
      <c r="F333" s="74" t="n"/>
    </row>
    <row r="334" ht="12.75" customHeight="1" s="58">
      <c r="A334" s="74" t="n"/>
      <c r="B334" s="74" t="n"/>
      <c r="C334" s="74" t="n"/>
      <c r="D334" s="74" t="n"/>
      <c r="E334" s="74" t="n"/>
      <c r="F334" s="74" t="n"/>
    </row>
    <row r="335" ht="12.75" customHeight="1" s="58">
      <c r="A335" s="74" t="n"/>
      <c r="B335" s="74" t="n"/>
      <c r="C335" s="74" t="n"/>
      <c r="D335" s="74" t="n"/>
      <c r="E335" s="74" t="n"/>
      <c r="F335" s="74" t="n"/>
    </row>
    <row r="336" ht="12.75" customHeight="1" s="58">
      <c r="A336" s="74" t="n"/>
      <c r="B336" s="74" t="n"/>
      <c r="C336" s="74" t="n"/>
      <c r="D336" s="74" t="n"/>
      <c r="E336" s="74" t="n"/>
      <c r="F336" s="74" t="n"/>
    </row>
    <row r="337" ht="12.75" customHeight="1" s="58">
      <c r="A337" s="74" t="n"/>
      <c r="B337" s="74" t="n"/>
      <c r="C337" s="74" t="n"/>
      <c r="D337" s="74" t="n"/>
      <c r="E337" s="74" t="n"/>
      <c r="F337" s="74" t="n"/>
    </row>
    <row r="338" ht="12.75" customHeight="1" s="58">
      <c r="A338" s="74" t="n"/>
      <c r="B338" s="74" t="n"/>
      <c r="C338" s="74" t="n"/>
      <c r="D338" s="74" t="n"/>
      <c r="E338" s="74" t="n"/>
      <c r="F338" s="74" t="n"/>
    </row>
    <row r="339" ht="12.75" customHeight="1" s="58">
      <c r="A339" s="74" t="n"/>
      <c r="B339" s="74" t="n"/>
      <c r="C339" s="74" t="n"/>
      <c r="D339" s="74" t="n"/>
      <c r="E339" s="74" t="n"/>
      <c r="F339" s="74" t="n"/>
    </row>
    <row r="340" ht="12.75" customHeight="1" s="58">
      <c r="A340" s="74" t="n"/>
      <c r="B340" s="74" t="n"/>
      <c r="C340" s="74" t="n"/>
      <c r="D340" s="74" t="n"/>
      <c r="E340" s="74" t="n"/>
      <c r="F340" s="74" t="n"/>
    </row>
    <row r="341" ht="12.75" customHeight="1" s="58">
      <c r="A341" s="74" t="n"/>
      <c r="B341" s="74" t="n"/>
      <c r="C341" s="74" t="n"/>
      <c r="D341" s="74" t="n"/>
      <c r="E341" s="74" t="n"/>
      <c r="F341" s="74" t="n"/>
    </row>
    <row r="342" ht="12.75" customHeight="1" s="58">
      <c r="A342" s="74" t="n"/>
      <c r="B342" s="74" t="n"/>
      <c r="C342" s="74" t="n"/>
      <c r="D342" s="74" t="n"/>
      <c r="E342" s="74" t="n"/>
      <c r="F342" s="74" t="n"/>
    </row>
    <row r="343" ht="12.75" customHeight="1" s="58">
      <c r="A343" s="74" t="n"/>
      <c r="B343" s="74" t="n"/>
      <c r="C343" s="74" t="n"/>
      <c r="D343" s="74" t="n"/>
      <c r="E343" s="74" t="n"/>
      <c r="F343" s="74" t="n"/>
    </row>
    <row r="344" ht="12.75" customHeight="1" s="58">
      <c r="A344" s="74" t="n"/>
      <c r="B344" s="74" t="n"/>
      <c r="C344" s="74" t="n"/>
      <c r="D344" s="74" t="n"/>
      <c r="E344" s="74" t="n"/>
      <c r="F344" s="74" t="n"/>
    </row>
    <row r="345" ht="12.75" customHeight="1" s="58">
      <c r="A345" s="74" t="n"/>
      <c r="B345" s="74" t="n"/>
      <c r="C345" s="74" t="n"/>
      <c r="D345" s="74" t="n"/>
      <c r="E345" s="74" t="n"/>
      <c r="F345" s="74" t="n"/>
    </row>
    <row r="346" ht="12.75" customHeight="1" s="58">
      <c r="A346" s="74" t="n"/>
      <c r="B346" s="74" t="n"/>
      <c r="C346" s="74" t="n"/>
      <c r="D346" s="74" t="n"/>
      <c r="E346" s="74" t="n"/>
      <c r="F346" s="74" t="n"/>
    </row>
    <row r="347" ht="12.75" customHeight="1" s="58">
      <c r="A347" s="74" t="n"/>
      <c r="B347" s="74" t="n"/>
      <c r="C347" s="74" t="n"/>
      <c r="D347" s="74" t="n"/>
      <c r="E347" s="74" t="n"/>
      <c r="F347" s="74" t="n"/>
    </row>
    <row r="348" ht="12.75" customHeight="1" s="58">
      <c r="A348" s="74" t="n"/>
      <c r="B348" s="74" t="n"/>
      <c r="C348" s="74" t="n"/>
      <c r="D348" s="74" t="n"/>
      <c r="E348" s="74" t="n"/>
      <c r="F348" s="74" t="n"/>
    </row>
    <row r="349" ht="12.75" customHeight="1" s="58">
      <c r="A349" s="74" t="n"/>
      <c r="B349" s="74" t="n"/>
      <c r="C349" s="74" t="n"/>
      <c r="D349" s="74" t="n"/>
      <c r="E349" s="74" t="n"/>
      <c r="F349" s="74" t="n"/>
    </row>
    <row r="350" ht="12.75" customHeight="1" s="58">
      <c r="A350" s="74" t="n"/>
      <c r="B350" s="74" t="n"/>
      <c r="C350" s="74" t="n"/>
      <c r="D350" s="74" t="n"/>
      <c r="E350" s="74" t="n"/>
      <c r="F350" s="74" t="n"/>
    </row>
    <row r="351" ht="12.75" customHeight="1" s="58">
      <c r="A351" s="74" t="n"/>
      <c r="B351" s="74" t="n"/>
      <c r="C351" s="74" t="n"/>
      <c r="D351" s="74" t="n"/>
      <c r="E351" s="74" t="n"/>
      <c r="F351" s="74" t="n"/>
    </row>
    <row r="352" ht="12.75" customHeight="1" s="58">
      <c r="A352" s="74" t="n"/>
      <c r="B352" s="74" t="n"/>
      <c r="C352" s="74" t="n"/>
      <c r="D352" s="74" t="n"/>
      <c r="E352" s="74" t="n"/>
      <c r="F352" s="74" t="n"/>
    </row>
    <row r="353" ht="12.75" customHeight="1" s="58">
      <c r="A353" s="74" t="n"/>
      <c r="B353" s="74" t="n"/>
      <c r="C353" s="74" t="n"/>
      <c r="D353" s="74" t="n"/>
      <c r="E353" s="74" t="n"/>
      <c r="F353" s="74" t="n"/>
    </row>
    <row r="354" ht="12.75" customHeight="1" s="58">
      <c r="A354" s="74" t="n"/>
      <c r="B354" s="74" t="n"/>
      <c r="C354" s="74" t="n"/>
      <c r="D354" s="74" t="n"/>
      <c r="E354" s="74" t="n"/>
      <c r="F354" s="74" t="n"/>
    </row>
    <row r="355" ht="12.75" customHeight="1" s="58">
      <c r="A355" s="74" t="n"/>
      <c r="B355" s="74" t="n"/>
      <c r="C355" s="74" t="n"/>
      <c r="D355" s="74" t="n"/>
      <c r="E355" s="74" t="n"/>
      <c r="F355" s="74" t="n"/>
    </row>
    <row r="356" ht="12.75" customHeight="1" s="58">
      <c r="A356" s="74" t="n"/>
      <c r="B356" s="74" t="n"/>
      <c r="C356" s="74" t="n"/>
      <c r="D356" s="74" t="n"/>
      <c r="E356" s="74" t="n"/>
      <c r="F356" s="74" t="n"/>
    </row>
    <row r="357" ht="12.75" customHeight="1" s="58">
      <c r="A357" s="74" t="n"/>
      <c r="B357" s="74" t="n"/>
      <c r="C357" s="74" t="n"/>
      <c r="D357" s="74" t="n"/>
      <c r="E357" s="74" t="n"/>
      <c r="F357" s="74" t="n"/>
    </row>
    <row r="358" ht="12.75" customHeight="1" s="58">
      <c r="A358" s="74" t="n"/>
      <c r="B358" s="74" t="n"/>
      <c r="C358" s="74" t="n"/>
      <c r="D358" s="74" t="n"/>
      <c r="E358" s="74" t="n"/>
      <c r="F358" s="74" t="n"/>
    </row>
    <row r="359" ht="12.75" customHeight="1" s="58">
      <c r="A359" s="74" t="n"/>
      <c r="B359" s="74" t="n"/>
      <c r="C359" s="74" t="n"/>
      <c r="D359" s="74" t="n"/>
      <c r="E359" s="74" t="n"/>
      <c r="F359" s="74" t="n"/>
    </row>
    <row r="360" ht="12.75" customHeight="1" s="58">
      <c r="A360" s="74" t="n"/>
      <c r="B360" s="74" t="n"/>
      <c r="C360" s="74" t="n"/>
      <c r="D360" s="74" t="n"/>
      <c r="E360" s="74" t="n"/>
      <c r="F360" s="74" t="n"/>
    </row>
    <row r="361" ht="12.75" customHeight="1" s="58">
      <c r="A361" s="74" t="n"/>
      <c r="B361" s="74" t="n"/>
      <c r="C361" s="74" t="n"/>
      <c r="D361" s="74" t="n"/>
      <c r="E361" s="74" t="n"/>
      <c r="F361" s="74" t="n"/>
    </row>
    <row r="362" ht="12.75" customHeight="1" s="58">
      <c r="A362" s="74" t="n"/>
      <c r="B362" s="74" t="n"/>
      <c r="C362" s="74" t="n"/>
      <c r="D362" s="74" t="n"/>
      <c r="E362" s="74" t="n"/>
      <c r="F362" s="74" t="n"/>
    </row>
    <row r="363" ht="12.75" customHeight="1" s="58">
      <c r="A363" s="74" t="n"/>
      <c r="B363" s="74" t="n"/>
      <c r="C363" s="74" t="n"/>
      <c r="D363" s="74" t="n"/>
      <c r="E363" s="74" t="n"/>
      <c r="F363" s="74" t="n"/>
    </row>
    <row r="364" ht="12.75" customHeight="1" s="58">
      <c r="A364" s="74" t="n"/>
      <c r="B364" s="74" t="n"/>
      <c r="C364" s="74" t="n"/>
      <c r="D364" s="74" t="n"/>
      <c r="E364" s="74" t="n"/>
      <c r="F364" s="74" t="n"/>
    </row>
    <row r="365" ht="12.75" customHeight="1" s="58">
      <c r="A365" s="74" t="n"/>
      <c r="B365" s="74" t="n"/>
      <c r="C365" s="74" t="n"/>
      <c r="D365" s="74" t="n"/>
      <c r="E365" s="74" t="n"/>
      <c r="F365" s="74" t="n"/>
    </row>
    <row r="366" ht="12.75" customHeight="1" s="58">
      <c r="A366" s="74" t="n"/>
      <c r="B366" s="74" t="n"/>
      <c r="C366" s="74" t="n"/>
      <c r="D366" s="74" t="n"/>
      <c r="E366" s="74" t="n"/>
      <c r="F366" s="74" t="n"/>
    </row>
    <row r="367" ht="12.75" customHeight="1" s="58">
      <c r="A367" s="74" t="n"/>
      <c r="B367" s="74" t="n"/>
      <c r="C367" s="74" t="n"/>
      <c r="D367" s="74" t="n"/>
      <c r="E367" s="74" t="n"/>
      <c r="F367" s="74" t="n"/>
    </row>
    <row r="368" ht="12.75" customHeight="1" s="58">
      <c r="A368" s="74" t="n"/>
      <c r="B368" s="74" t="n"/>
      <c r="C368" s="74" t="n"/>
      <c r="D368" s="74" t="n"/>
      <c r="E368" s="74" t="n"/>
      <c r="F368" s="74" t="n"/>
    </row>
    <row r="369" ht="12.75" customHeight="1" s="58">
      <c r="A369" s="74" t="n"/>
      <c r="B369" s="74" t="n"/>
      <c r="C369" s="74" t="n"/>
      <c r="D369" s="74" t="n"/>
      <c r="E369" s="74" t="n"/>
      <c r="F369" s="74" t="n"/>
    </row>
    <row r="370" ht="12.75" customHeight="1" s="58">
      <c r="A370" s="74" t="n"/>
      <c r="B370" s="74" t="n"/>
      <c r="C370" s="74" t="n"/>
      <c r="D370" s="74" t="n"/>
      <c r="E370" s="74" t="n"/>
      <c r="F370" s="74" t="n"/>
    </row>
    <row r="371" ht="12.75" customHeight="1" s="58">
      <c r="A371" s="74" t="n"/>
      <c r="B371" s="74" t="n"/>
      <c r="C371" s="74" t="n"/>
      <c r="D371" s="74" t="n"/>
      <c r="E371" s="74" t="n"/>
      <c r="F371" s="74" t="n"/>
    </row>
    <row r="372" ht="12.75" customHeight="1" s="58">
      <c r="A372" s="74" t="n"/>
      <c r="B372" s="74" t="n"/>
      <c r="C372" s="74" t="n"/>
      <c r="D372" s="74" t="n"/>
      <c r="E372" s="74" t="n"/>
      <c r="F372" s="74" t="n"/>
    </row>
    <row r="373" ht="12.75" customHeight="1" s="58">
      <c r="A373" s="74" t="n"/>
      <c r="B373" s="74" t="n"/>
      <c r="C373" s="74" t="n"/>
      <c r="D373" s="74" t="n"/>
      <c r="E373" s="74" t="n"/>
      <c r="F373" s="74" t="n"/>
    </row>
    <row r="374" ht="12.75" customHeight="1" s="58">
      <c r="A374" s="74" t="n"/>
      <c r="B374" s="74" t="n"/>
      <c r="C374" s="74" t="n"/>
      <c r="D374" s="74" t="n"/>
      <c r="E374" s="74" t="n"/>
      <c r="F374" s="74" t="n"/>
    </row>
    <row r="375" ht="12.75" customHeight="1" s="58">
      <c r="A375" s="74" t="n"/>
      <c r="B375" s="74" t="n"/>
      <c r="C375" s="74" t="n"/>
      <c r="D375" s="74" t="n"/>
      <c r="E375" s="74" t="n"/>
      <c r="F375" s="74" t="n"/>
    </row>
    <row r="376" ht="12.75" customHeight="1" s="58">
      <c r="A376" s="74" t="n"/>
      <c r="B376" s="74" t="n"/>
      <c r="C376" s="74" t="n"/>
      <c r="D376" s="74" t="n"/>
      <c r="E376" s="74" t="n"/>
      <c r="F376" s="74" t="n"/>
    </row>
    <row r="377" ht="12.75" customHeight="1" s="58">
      <c r="A377" s="74" t="n"/>
      <c r="B377" s="74" t="n"/>
      <c r="C377" s="74" t="n"/>
      <c r="D377" s="74" t="n"/>
      <c r="E377" s="74" t="n"/>
      <c r="F377" s="74" t="n"/>
    </row>
    <row r="378" ht="12.75" customHeight="1" s="58">
      <c r="A378" s="74" t="n"/>
      <c r="B378" s="74" t="n"/>
      <c r="C378" s="74" t="n"/>
      <c r="D378" s="74" t="n"/>
      <c r="E378" s="74" t="n"/>
      <c r="F378" s="74" t="n"/>
    </row>
    <row r="379" ht="12.75" customHeight="1" s="58">
      <c r="A379" s="74" t="n"/>
      <c r="B379" s="74" t="n"/>
      <c r="C379" s="74" t="n"/>
      <c r="D379" s="74" t="n"/>
      <c r="E379" s="74" t="n"/>
      <c r="F379" s="74" t="n"/>
    </row>
    <row r="380" ht="12.75" customHeight="1" s="58">
      <c r="A380" s="74" t="n"/>
      <c r="B380" s="74" t="n"/>
      <c r="C380" s="74" t="n"/>
      <c r="D380" s="74" t="n"/>
      <c r="E380" s="74" t="n"/>
      <c r="F380" s="74" t="n"/>
    </row>
    <row r="381" ht="12.75" customHeight="1" s="58">
      <c r="A381" s="74" t="n"/>
      <c r="B381" s="74" t="n"/>
      <c r="C381" s="74" t="n"/>
      <c r="D381" s="74" t="n"/>
      <c r="E381" s="74" t="n"/>
      <c r="F381" s="74" t="n"/>
    </row>
    <row r="382" ht="12.75" customHeight="1" s="58">
      <c r="A382" s="74" t="n"/>
      <c r="B382" s="74" t="n"/>
      <c r="C382" s="74" t="n"/>
      <c r="D382" s="74" t="n"/>
      <c r="E382" s="74" t="n"/>
      <c r="F382" s="74" t="n"/>
    </row>
    <row r="383" ht="12.75" customHeight="1" s="58">
      <c r="A383" s="74" t="n"/>
      <c r="B383" s="74" t="n"/>
      <c r="C383" s="74" t="n"/>
      <c r="D383" s="74" t="n"/>
      <c r="E383" s="74" t="n"/>
      <c r="F383" s="74" t="n"/>
    </row>
    <row r="384" ht="12.75" customHeight="1" s="58">
      <c r="A384" s="74" t="n"/>
      <c r="B384" s="74" t="n"/>
      <c r="C384" s="74" t="n"/>
      <c r="D384" s="74" t="n"/>
      <c r="E384" s="74" t="n"/>
      <c r="F384" s="74" t="n"/>
    </row>
    <row r="385" ht="12.75" customHeight="1" s="58">
      <c r="A385" s="74" t="n"/>
      <c r="B385" s="74" t="n"/>
      <c r="C385" s="74" t="n"/>
      <c r="D385" s="74" t="n"/>
      <c r="E385" s="74" t="n"/>
      <c r="F385" s="74" t="n"/>
    </row>
    <row r="386" ht="12.75" customHeight="1" s="58">
      <c r="A386" s="74" t="n"/>
      <c r="B386" s="74" t="n"/>
      <c r="C386" s="74" t="n"/>
      <c r="D386" s="74" t="n"/>
      <c r="E386" s="74" t="n"/>
      <c r="F386" s="74" t="n"/>
    </row>
    <row r="387" ht="12.75" customHeight="1" s="58">
      <c r="A387" s="74" t="n"/>
      <c r="B387" s="74" t="n"/>
      <c r="C387" s="74" t="n"/>
      <c r="D387" s="74" t="n"/>
      <c r="E387" s="74" t="n"/>
      <c r="F387" s="74" t="n"/>
    </row>
    <row r="388" ht="12.75" customHeight="1" s="58">
      <c r="A388" s="74" t="n"/>
      <c r="B388" s="74" t="n"/>
      <c r="C388" s="74" t="n"/>
      <c r="D388" s="74" t="n"/>
      <c r="E388" s="74" t="n"/>
      <c r="F388" s="74" t="n"/>
    </row>
    <row r="389" ht="12.75" customHeight="1" s="58">
      <c r="A389" s="74" t="n"/>
      <c r="B389" s="74" t="n"/>
      <c r="C389" s="74" t="n"/>
      <c r="D389" s="74" t="n"/>
      <c r="E389" s="74" t="n"/>
      <c r="F389" s="74" t="n"/>
    </row>
    <row r="390" ht="12.75" customHeight="1" s="58">
      <c r="A390" s="74" t="n"/>
      <c r="B390" s="74" t="n"/>
      <c r="C390" s="74" t="n"/>
      <c r="D390" s="74" t="n"/>
      <c r="E390" s="74" t="n"/>
      <c r="F390" s="74" t="n"/>
    </row>
    <row r="391" ht="12.75" customHeight="1" s="58">
      <c r="A391" s="74" t="n"/>
      <c r="B391" s="74" t="n"/>
      <c r="C391" s="74" t="n"/>
      <c r="D391" s="74" t="n"/>
      <c r="E391" s="74" t="n"/>
      <c r="F391" s="74" t="n"/>
    </row>
    <row r="392" ht="12.75" customHeight="1" s="58">
      <c r="A392" s="74" t="n"/>
      <c r="B392" s="74" t="n"/>
      <c r="C392" s="74" t="n"/>
      <c r="D392" s="74" t="n"/>
      <c r="E392" s="74" t="n"/>
      <c r="F392" s="74" t="n"/>
    </row>
    <row r="393" ht="12.75" customHeight="1" s="58">
      <c r="A393" s="74" t="n"/>
      <c r="B393" s="74" t="n"/>
      <c r="C393" s="74" t="n"/>
      <c r="D393" s="74" t="n"/>
      <c r="E393" s="74" t="n"/>
      <c r="F393" s="74" t="n"/>
    </row>
    <row r="394" ht="12.75" customHeight="1" s="58">
      <c r="A394" s="74" t="n"/>
      <c r="B394" s="74" t="n"/>
      <c r="C394" s="74" t="n"/>
      <c r="D394" s="74" t="n"/>
      <c r="E394" s="74" t="n"/>
      <c r="F394" s="74" t="n"/>
    </row>
    <row r="395" ht="12.75" customHeight="1" s="58">
      <c r="A395" s="74" t="n"/>
      <c r="B395" s="74" t="n"/>
      <c r="C395" s="74" t="n"/>
      <c r="D395" s="74" t="n"/>
      <c r="E395" s="74" t="n"/>
      <c r="F395" s="74" t="n"/>
    </row>
    <row r="396" ht="12.75" customHeight="1" s="58">
      <c r="A396" s="74" t="n"/>
      <c r="B396" s="74" t="n"/>
      <c r="C396" s="74" t="n"/>
      <c r="D396" s="74" t="n"/>
      <c r="E396" s="74" t="n"/>
      <c r="F396" s="74" t="n"/>
    </row>
    <row r="397" ht="12.75" customHeight="1" s="58">
      <c r="A397" s="74" t="n"/>
      <c r="B397" s="74" t="n"/>
      <c r="C397" s="74" t="n"/>
      <c r="D397" s="74" t="n"/>
      <c r="E397" s="74" t="n"/>
      <c r="F397" s="74" t="n"/>
    </row>
    <row r="398" ht="12.75" customHeight="1" s="58">
      <c r="A398" s="74" t="n"/>
      <c r="B398" s="74" t="n"/>
      <c r="C398" s="74" t="n"/>
      <c r="D398" s="74" t="n"/>
      <c r="E398" s="74" t="n"/>
      <c r="F398" s="74" t="n"/>
    </row>
    <row r="399" ht="12.75" customHeight="1" s="58">
      <c r="A399" s="74" t="n"/>
      <c r="B399" s="74" t="n"/>
      <c r="C399" s="74" t="n"/>
      <c r="D399" s="74" t="n"/>
      <c r="E399" s="74" t="n"/>
      <c r="F399" s="74" t="n"/>
    </row>
    <row r="400" ht="12.75" customHeight="1" s="58">
      <c r="A400" s="74" t="n"/>
      <c r="B400" s="74" t="n"/>
      <c r="C400" s="74" t="n"/>
      <c r="D400" s="74" t="n"/>
      <c r="E400" s="74" t="n"/>
      <c r="F400" s="74" t="n"/>
    </row>
    <row r="401" ht="12.75" customHeight="1" s="58">
      <c r="A401" s="74" t="n"/>
      <c r="B401" s="74" t="n"/>
      <c r="C401" s="74" t="n"/>
      <c r="D401" s="74" t="n"/>
      <c r="E401" s="74" t="n"/>
      <c r="F401" s="74" t="n"/>
    </row>
    <row r="402" ht="12.75" customHeight="1" s="58">
      <c r="A402" s="74" t="n"/>
      <c r="B402" s="74" t="n"/>
      <c r="C402" s="74" t="n"/>
      <c r="D402" s="74" t="n"/>
      <c r="E402" s="74" t="n"/>
      <c r="F402" s="74" t="n"/>
    </row>
    <row r="403" ht="12.75" customHeight="1" s="58">
      <c r="A403" s="74" t="n"/>
      <c r="B403" s="74" t="n"/>
      <c r="C403" s="74" t="n"/>
      <c r="D403" s="74" t="n"/>
      <c r="E403" s="74" t="n"/>
      <c r="F403" s="74" t="n"/>
    </row>
    <row r="404" ht="12.75" customHeight="1" s="58">
      <c r="A404" s="74" t="n"/>
      <c r="B404" s="74" t="n"/>
      <c r="C404" s="74" t="n"/>
      <c r="D404" s="74" t="n"/>
      <c r="E404" s="74" t="n"/>
      <c r="F404" s="74" t="n"/>
    </row>
    <row r="405" ht="12.75" customHeight="1" s="58">
      <c r="A405" s="74" t="n"/>
      <c r="B405" s="74" t="n"/>
      <c r="C405" s="74" t="n"/>
      <c r="D405" s="74" t="n"/>
      <c r="E405" s="74" t="n"/>
      <c r="F405" s="74" t="n"/>
    </row>
    <row r="406" ht="12.75" customHeight="1" s="58">
      <c r="A406" s="74" t="n"/>
      <c r="B406" s="74" t="n"/>
      <c r="C406" s="74" t="n"/>
      <c r="D406" s="74" t="n"/>
      <c r="E406" s="74" t="n"/>
      <c r="F406" s="74" t="n"/>
    </row>
    <row r="407" ht="12.75" customHeight="1" s="58">
      <c r="A407" s="74" t="n"/>
      <c r="B407" s="74" t="n"/>
      <c r="C407" s="74" t="n"/>
      <c r="D407" s="74" t="n"/>
      <c r="E407" s="74" t="n"/>
      <c r="F407" s="74" t="n"/>
    </row>
    <row r="408" ht="12.75" customHeight="1" s="58">
      <c r="A408" s="74" t="n"/>
      <c r="B408" s="74" t="n"/>
      <c r="C408" s="74" t="n"/>
      <c r="D408" s="74" t="n"/>
      <c r="E408" s="74" t="n"/>
      <c r="F408" s="74" t="n"/>
    </row>
    <row r="409" ht="12.75" customHeight="1" s="58">
      <c r="A409" s="74" t="n"/>
      <c r="B409" s="74" t="n"/>
      <c r="C409" s="74" t="n"/>
      <c r="D409" s="74" t="n"/>
      <c r="E409" s="74" t="n"/>
      <c r="F409" s="74" t="n"/>
    </row>
    <row r="410" ht="12.75" customHeight="1" s="58">
      <c r="A410" s="74" t="n"/>
      <c r="B410" s="74" t="n"/>
      <c r="C410" s="74" t="n"/>
      <c r="D410" s="74" t="n"/>
      <c r="E410" s="74" t="n"/>
      <c r="F410" s="74" t="n"/>
    </row>
    <row r="411" ht="12.75" customHeight="1" s="58">
      <c r="A411" s="74" t="n"/>
      <c r="B411" s="74" t="n"/>
      <c r="C411" s="74" t="n"/>
      <c r="D411" s="74" t="n"/>
      <c r="E411" s="74" t="n"/>
      <c r="F411" s="74" t="n"/>
    </row>
    <row r="412" ht="12.75" customHeight="1" s="58">
      <c r="A412" s="74" t="n"/>
      <c r="B412" s="74" t="n"/>
      <c r="C412" s="74" t="n"/>
      <c r="D412" s="74" t="n"/>
      <c r="E412" s="74" t="n"/>
      <c r="F412" s="74" t="n"/>
    </row>
    <row r="413" ht="12.75" customHeight="1" s="58">
      <c r="A413" s="74" t="n"/>
      <c r="B413" s="74" t="n"/>
      <c r="C413" s="74" t="n"/>
      <c r="D413" s="74" t="n"/>
      <c r="E413" s="74" t="n"/>
      <c r="F413" s="74" t="n"/>
    </row>
    <row r="414" ht="12.75" customHeight="1" s="58">
      <c r="A414" s="74" t="n"/>
      <c r="B414" s="74" t="n"/>
      <c r="C414" s="74" t="n"/>
      <c r="D414" s="74" t="n"/>
      <c r="E414" s="74" t="n"/>
      <c r="F414" s="74" t="n"/>
    </row>
    <row r="415" ht="12.75" customHeight="1" s="58">
      <c r="A415" s="74" t="n"/>
      <c r="B415" s="74" t="n"/>
      <c r="C415" s="74" t="n"/>
      <c r="D415" s="74" t="n"/>
      <c r="E415" s="74" t="n"/>
      <c r="F415" s="74" t="n"/>
    </row>
    <row r="416" ht="12.75" customHeight="1" s="58">
      <c r="A416" s="74" t="n"/>
      <c r="B416" s="74" t="n"/>
      <c r="C416" s="74" t="n"/>
      <c r="D416" s="74" t="n"/>
      <c r="E416" s="74" t="n"/>
      <c r="F416" s="74" t="n"/>
    </row>
    <row r="417" ht="12.75" customHeight="1" s="58">
      <c r="A417" s="74" t="n"/>
      <c r="B417" s="74" t="n"/>
      <c r="C417" s="74" t="n"/>
      <c r="D417" s="74" t="n"/>
      <c r="E417" s="74" t="n"/>
      <c r="F417" s="74" t="n"/>
    </row>
    <row r="418" ht="12.75" customHeight="1" s="58">
      <c r="A418" s="74" t="n"/>
      <c r="B418" s="74" t="n"/>
      <c r="C418" s="74" t="n"/>
      <c r="D418" s="74" t="n"/>
      <c r="E418" s="74" t="n"/>
      <c r="F418" s="74" t="n"/>
    </row>
    <row r="419" ht="12.75" customHeight="1" s="58">
      <c r="A419" s="74" t="n"/>
      <c r="B419" s="74" t="n"/>
      <c r="C419" s="74" t="n"/>
      <c r="D419" s="74" t="n"/>
      <c r="E419" s="74" t="n"/>
      <c r="F419" s="74" t="n"/>
    </row>
    <row r="420" ht="12.75" customHeight="1" s="58">
      <c r="A420" s="74" t="n"/>
      <c r="B420" s="74" t="n"/>
      <c r="C420" s="74" t="n"/>
      <c r="D420" s="74" t="n"/>
      <c r="E420" s="74" t="n"/>
      <c r="F420" s="74" t="n"/>
    </row>
    <row r="421" ht="12.75" customHeight="1" s="58">
      <c r="A421" s="74" t="n"/>
      <c r="B421" s="74" t="n"/>
      <c r="C421" s="74" t="n"/>
      <c r="D421" s="74" t="n"/>
      <c r="E421" s="74" t="n"/>
      <c r="F421" s="74" t="n"/>
    </row>
    <row r="422" ht="12.75" customHeight="1" s="58">
      <c r="A422" s="74" t="n"/>
      <c r="B422" s="74" t="n"/>
      <c r="C422" s="74" t="n"/>
      <c r="D422" s="74" t="n"/>
      <c r="E422" s="74" t="n"/>
      <c r="F422" s="74" t="n"/>
    </row>
    <row r="423" ht="12.75" customHeight="1" s="58">
      <c r="A423" s="74" t="n"/>
      <c r="B423" s="74" t="n"/>
      <c r="C423" s="74" t="n"/>
      <c r="D423" s="74" t="n"/>
      <c r="E423" s="74" t="n"/>
      <c r="F423" s="74" t="n"/>
    </row>
    <row r="424" ht="12.75" customHeight="1" s="58">
      <c r="A424" s="74" t="n"/>
      <c r="B424" s="74" t="n"/>
      <c r="C424" s="74" t="n"/>
      <c r="D424" s="74" t="n"/>
      <c r="E424" s="74" t="n"/>
      <c r="F424" s="74" t="n"/>
    </row>
    <row r="425" ht="12.75" customHeight="1" s="58">
      <c r="A425" s="74" t="n"/>
      <c r="B425" s="74" t="n"/>
      <c r="C425" s="74" t="n"/>
      <c r="D425" s="74" t="n"/>
      <c r="E425" s="74" t="n"/>
      <c r="F425" s="74" t="n"/>
    </row>
    <row r="426" ht="12.75" customHeight="1" s="58">
      <c r="A426" s="74" t="n"/>
      <c r="B426" s="74" t="n"/>
      <c r="C426" s="74" t="n"/>
      <c r="D426" s="74" t="n"/>
      <c r="E426" s="74" t="n"/>
      <c r="F426" s="74" t="n"/>
    </row>
    <row r="427" ht="12.75" customHeight="1" s="58">
      <c r="A427" s="74" t="n"/>
      <c r="B427" s="74" t="n"/>
      <c r="C427" s="74" t="n"/>
      <c r="D427" s="74" t="n"/>
      <c r="E427" s="74" t="n"/>
      <c r="F427" s="74" t="n"/>
    </row>
    <row r="428" ht="12.75" customHeight="1" s="58">
      <c r="A428" s="74" t="n"/>
      <c r="B428" s="74" t="n"/>
      <c r="C428" s="74" t="n"/>
      <c r="D428" s="74" t="n"/>
      <c r="E428" s="74" t="n"/>
      <c r="F428" s="74" t="n"/>
    </row>
    <row r="429" ht="12.75" customHeight="1" s="58">
      <c r="A429" s="74" t="n"/>
      <c r="B429" s="74" t="n"/>
      <c r="C429" s="74" t="n"/>
      <c r="D429" s="74" t="n"/>
      <c r="E429" s="74" t="n"/>
      <c r="F429" s="74" t="n"/>
    </row>
    <row r="430" ht="12.75" customHeight="1" s="58">
      <c r="A430" s="74" t="n"/>
      <c r="B430" s="74" t="n"/>
      <c r="C430" s="74" t="n"/>
      <c r="D430" s="74" t="n"/>
      <c r="E430" s="74" t="n"/>
      <c r="F430" s="74" t="n"/>
    </row>
    <row r="431" ht="12.75" customHeight="1" s="58">
      <c r="A431" s="74" t="n"/>
      <c r="B431" s="74" t="n"/>
      <c r="C431" s="74" t="n"/>
      <c r="D431" s="74" t="n"/>
      <c r="E431" s="74" t="n"/>
      <c r="F431" s="74" t="n"/>
    </row>
    <row r="432" ht="12.75" customHeight="1" s="58">
      <c r="A432" s="74" t="n"/>
      <c r="B432" s="74" t="n"/>
      <c r="C432" s="74" t="n"/>
      <c r="D432" s="74" t="n"/>
      <c r="E432" s="74" t="n"/>
      <c r="F432" s="74" t="n"/>
    </row>
    <row r="433" ht="12.75" customHeight="1" s="58">
      <c r="A433" s="74" t="n"/>
      <c r="B433" s="74" t="n"/>
      <c r="C433" s="74" t="n"/>
      <c r="D433" s="74" t="n"/>
      <c r="E433" s="74" t="n"/>
      <c r="F433" s="74" t="n"/>
    </row>
    <row r="434" ht="12.75" customHeight="1" s="58">
      <c r="A434" s="74" t="n"/>
      <c r="B434" s="74" t="n"/>
      <c r="C434" s="74" t="n"/>
      <c r="D434" s="74" t="n"/>
      <c r="E434" s="74" t="n"/>
      <c r="F434" s="74" t="n"/>
    </row>
    <row r="435" ht="12.75" customHeight="1" s="58">
      <c r="A435" s="74" t="n"/>
      <c r="B435" s="74" t="n"/>
      <c r="C435" s="74" t="n"/>
      <c r="D435" s="74" t="n"/>
      <c r="E435" s="74" t="n"/>
      <c r="F435" s="74" t="n"/>
    </row>
    <row r="436" ht="12.75" customHeight="1" s="58">
      <c r="A436" s="74" t="n"/>
      <c r="B436" s="74" t="n"/>
      <c r="C436" s="74" t="n"/>
      <c r="D436" s="74" t="n"/>
      <c r="E436" s="74" t="n"/>
      <c r="F436" s="74" t="n"/>
    </row>
    <row r="437" ht="12.75" customHeight="1" s="58">
      <c r="A437" s="74" t="n"/>
      <c r="B437" s="74" t="n"/>
      <c r="C437" s="74" t="n"/>
      <c r="D437" s="74" t="n"/>
      <c r="E437" s="74" t="n"/>
      <c r="F437" s="74" t="n"/>
    </row>
    <row r="438" ht="12.75" customHeight="1" s="58">
      <c r="A438" s="74" t="n"/>
      <c r="B438" s="74" t="n"/>
      <c r="C438" s="74" t="n"/>
      <c r="D438" s="74" t="n"/>
      <c r="E438" s="74" t="n"/>
      <c r="F438" s="74" t="n"/>
    </row>
    <row r="439" ht="12.75" customHeight="1" s="58">
      <c r="A439" s="74" t="n"/>
      <c r="B439" s="74" t="n"/>
      <c r="C439" s="74" t="n"/>
      <c r="D439" s="74" t="n"/>
      <c r="E439" s="74" t="n"/>
      <c r="F439" s="74" t="n"/>
    </row>
    <row r="440" ht="12.75" customHeight="1" s="58">
      <c r="A440" s="74" t="n"/>
      <c r="B440" s="74" t="n"/>
      <c r="C440" s="74" t="n"/>
      <c r="D440" s="74" t="n"/>
      <c r="E440" s="74" t="n"/>
      <c r="F440" s="74" t="n"/>
    </row>
    <row r="441" ht="12.75" customHeight="1" s="58">
      <c r="A441" s="74" t="n"/>
      <c r="B441" s="74" t="n"/>
      <c r="C441" s="74" t="n"/>
      <c r="D441" s="74" t="n"/>
      <c r="E441" s="74" t="n"/>
      <c r="F441" s="74" t="n"/>
    </row>
    <row r="442" ht="12.75" customHeight="1" s="58">
      <c r="A442" s="74" t="n"/>
      <c r="B442" s="74" t="n"/>
      <c r="C442" s="74" t="n"/>
      <c r="D442" s="74" t="n"/>
      <c r="E442" s="74" t="n"/>
      <c r="F442" s="74" t="n"/>
    </row>
    <row r="443" ht="12.75" customHeight="1" s="58">
      <c r="A443" s="74" t="n"/>
      <c r="B443" s="74" t="n"/>
      <c r="C443" s="74" t="n"/>
      <c r="D443" s="74" t="n"/>
      <c r="E443" s="74" t="n"/>
      <c r="F443" s="74" t="n"/>
    </row>
    <row r="444" ht="12.75" customHeight="1" s="58">
      <c r="A444" s="74" t="n"/>
      <c r="B444" s="74" t="n"/>
      <c r="C444" s="74" t="n"/>
      <c r="D444" s="74" t="n"/>
      <c r="E444" s="74" t="n"/>
      <c r="F444" s="74" t="n"/>
    </row>
    <row r="445" ht="12.75" customHeight="1" s="58">
      <c r="A445" s="74" t="n"/>
      <c r="B445" s="74" t="n"/>
      <c r="C445" s="74" t="n"/>
      <c r="D445" s="74" t="n"/>
      <c r="E445" s="74" t="n"/>
      <c r="F445" s="74" t="n"/>
    </row>
    <row r="446" ht="12.75" customHeight="1" s="58">
      <c r="A446" s="74" t="n"/>
      <c r="B446" s="74" t="n"/>
      <c r="C446" s="74" t="n"/>
      <c r="D446" s="74" t="n"/>
      <c r="E446" s="74" t="n"/>
      <c r="F446" s="74" t="n"/>
    </row>
    <row r="447" ht="12.75" customHeight="1" s="58">
      <c r="A447" s="74" t="n"/>
      <c r="B447" s="74" t="n"/>
      <c r="C447" s="74" t="n"/>
      <c r="D447" s="74" t="n"/>
      <c r="E447" s="74" t="n"/>
      <c r="F447" s="74" t="n"/>
    </row>
    <row r="448" ht="12.75" customHeight="1" s="58">
      <c r="A448" s="74" t="n"/>
      <c r="B448" s="74" t="n"/>
      <c r="C448" s="74" t="n"/>
      <c r="D448" s="74" t="n"/>
      <c r="E448" s="74" t="n"/>
      <c r="F448" s="74" t="n"/>
    </row>
    <row r="449" ht="12.75" customHeight="1" s="58">
      <c r="A449" s="74" t="n"/>
      <c r="B449" s="74" t="n"/>
      <c r="C449" s="74" t="n"/>
      <c r="D449" s="74" t="n"/>
      <c r="E449" s="74" t="n"/>
      <c r="F449" s="74" t="n"/>
    </row>
    <row r="450" ht="12.75" customHeight="1" s="58">
      <c r="A450" s="74" t="n"/>
      <c r="B450" s="74" t="n"/>
      <c r="C450" s="74" t="n"/>
      <c r="D450" s="74" t="n"/>
      <c r="E450" s="74" t="n"/>
      <c r="F450" s="74" t="n"/>
    </row>
    <row r="451" ht="12.75" customHeight="1" s="58">
      <c r="A451" s="74" t="n"/>
      <c r="B451" s="74" t="n"/>
      <c r="C451" s="74" t="n"/>
      <c r="D451" s="74" t="n"/>
      <c r="E451" s="74" t="n"/>
      <c r="F451" s="74" t="n"/>
    </row>
    <row r="452" ht="12.75" customHeight="1" s="58">
      <c r="A452" s="74" t="n"/>
      <c r="B452" s="74" t="n"/>
      <c r="C452" s="74" t="n"/>
      <c r="D452" s="74" t="n"/>
      <c r="E452" s="74" t="n"/>
      <c r="F452" s="74" t="n"/>
    </row>
    <row r="453" ht="12.75" customHeight="1" s="58">
      <c r="A453" s="74" t="n"/>
      <c r="B453" s="74" t="n"/>
      <c r="C453" s="74" t="n"/>
      <c r="D453" s="74" t="n"/>
      <c r="E453" s="74" t="n"/>
      <c r="F453" s="74" t="n"/>
    </row>
    <row r="454" ht="12.75" customHeight="1" s="58">
      <c r="A454" s="74" t="n"/>
      <c r="B454" s="74" t="n"/>
      <c r="C454" s="74" t="n"/>
      <c r="D454" s="74" t="n"/>
      <c r="E454" s="74" t="n"/>
      <c r="F454" s="74" t="n"/>
    </row>
    <row r="455" ht="12.75" customHeight="1" s="58">
      <c r="A455" s="74" t="n"/>
      <c r="B455" s="74" t="n"/>
      <c r="C455" s="74" t="n"/>
      <c r="D455" s="74" t="n"/>
      <c r="E455" s="74" t="n"/>
      <c r="F455" s="74" t="n"/>
    </row>
    <row r="456" ht="12.75" customHeight="1" s="58">
      <c r="A456" s="74" t="n"/>
      <c r="B456" s="74" t="n"/>
      <c r="C456" s="74" t="n"/>
      <c r="D456" s="74" t="n"/>
      <c r="E456" s="74" t="n"/>
      <c r="F456" s="74" t="n"/>
    </row>
    <row r="457" ht="12.75" customHeight="1" s="58">
      <c r="A457" s="74" t="n"/>
      <c r="B457" s="74" t="n"/>
      <c r="C457" s="74" t="n"/>
      <c r="D457" s="74" t="n"/>
      <c r="E457" s="74" t="n"/>
      <c r="F457" s="74" t="n"/>
    </row>
    <row r="458" ht="12.75" customHeight="1" s="58">
      <c r="A458" s="74" t="n"/>
      <c r="B458" s="74" t="n"/>
      <c r="C458" s="74" t="n"/>
      <c r="D458" s="74" t="n"/>
      <c r="E458" s="74" t="n"/>
      <c r="F458" s="74" t="n"/>
    </row>
    <row r="459" ht="12.75" customHeight="1" s="58">
      <c r="A459" s="74" t="n"/>
      <c r="B459" s="74" t="n"/>
      <c r="C459" s="74" t="n"/>
      <c r="D459" s="74" t="n"/>
      <c r="E459" s="74" t="n"/>
      <c r="F459" s="74" t="n"/>
    </row>
    <row r="460" ht="12.75" customHeight="1" s="58">
      <c r="A460" s="74" t="n"/>
      <c r="B460" s="74" t="n"/>
      <c r="C460" s="74" t="n"/>
      <c r="D460" s="74" t="n"/>
      <c r="E460" s="74" t="n"/>
      <c r="F460" s="74" t="n"/>
    </row>
    <row r="461" ht="12.75" customHeight="1" s="58">
      <c r="A461" s="74" t="n"/>
      <c r="B461" s="74" t="n"/>
      <c r="C461" s="74" t="n"/>
      <c r="D461" s="74" t="n"/>
      <c r="E461" s="74" t="n"/>
      <c r="F461" s="74" t="n"/>
    </row>
    <row r="462" ht="12.75" customHeight="1" s="58">
      <c r="A462" s="74" t="n"/>
      <c r="B462" s="74" t="n"/>
      <c r="C462" s="74" t="n"/>
      <c r="D462" s="74" t="n"/>
      <c r="E462" s="74" t="n"/>
      <c r="F462" s="74" t="n"/>
    </row>
    <row r="463" ht="12.75" customHeight="1" s="58">
      <c r="A463" s="74" t="n"/>
      <c r="B463" s="74" t="n"/>
      <c r="C463" s="74" t="n"/>
      <c r="D463" s="74" t="n"/>
      <c r="E463" s="74" t="n"/>
      <c r="F463" s="74" t="n"/>
    </row>
    <row r="464" ht="12.75" customHeight="1" s="58">
      <c r="A464" s="74" t="n"/>
      <c r="B464" s="74" t="n"/>
      <c r="C464" s="74" t="n"/>
      <c r="D464" s="74" t="n"/>
      <c r="E464" s="74" t="n"/>
      <c r="F464" s="74" t="n"/>
    </row>
    <row r="465" ht="12.75" customHeight="1" s="58">
      <c r="A465" s="74" t="n"/>
      <c r="B465" s="74" t="n"/>
      <c r="C465" s="74" t="n"/>
      <c r="D465" s="74" t="n"/>
      <c r="E465" s="74" t="n"/>
      <c r="F465" s="74" t="n"/>
    </row>
    <row r="466" ht="12.75" customHeight="1" s="58">
      <c r="A466" s="74" t="n"/>
      <c r="B466" s="74" t="n"/>
      <c r="C466" s="74" t="n"/>
      <c r="D466" s="74" t="n"/>
      <c r="E466" s="74" t="n"/>
      <c r="F466" s="74" t="n"/>
    </row>
    <row r="467" ht="12.75" customHeight="1" s="58">
      <c r="A467" s="74" t="n"/>
      <c r="B467" s="74" t="n"/>
      <c r="C467" s="74" t="n"/>
      <c r="D467" s="74" t="n"/>
      <c r="E467" s="74" t="n"/>
      <c r="F467" s="74" t="n"/>
    </row>
    <row r="468" ht="12.75" customHeight="1" s="58">
      <c r="A468" s="74" t="n"/>
      <c r="B468" s="74" t="n"/>
      <c r="C468" s="74" t="n"/>
      <c r="D468" s="74" t="n"/>
      <c r="E468" s="74" t="n"/>
      <c r="F468" s="74" t="n"/>
    </row>
    <row r="469" ht="12.75" customHeight="1" s="58">
      <c r="A469" s="74" t="n"/>
      <c r="B469" s="74" t="n"/>
      <c r="C469" s="74" t="n"/>
      <c r="D469" s="74" t="n"/>
      <c r="E469" s="74" t="n"/>
      <c r="F469" s="74" t="n"/>
    </row>
    <row r="470" ht="12.75" customHeight="1" s="58">
      <c r="A470" s="74" t="n"/>
      <c r="B470" s="74" t="n"/>
      <c r="C470" s="74" t="n"/>
      <c r="D470" s="74" t="n"/>
      <c r="E470" s="74" t="n"/>
      <c r="F470" s="74" t="n"/>
    </row>
    <row r="471" ht="12.75" customHeight="1" s="58">
      <c r="A471" s="74" t="n"/>
      <c r="B471" s="74" t="n"/>
      <c r="C471" s="74" t="n"/>
      <c r="D471" s="74" t="n"/>
      <c r="E471" s="74" t="n"/>
      <c r="F471" s="74" t="n"/>
    </row>
    <row r="472" ht="12.75" customHeight="1" s="58">
      <c r="A472" s="74" t="n"/>
      <c r="B472" s="74" t="n"/>
      <c r="C472" s="74" t="n"/>
      <c r="D472" s="74" t="n"/>
      <c r="E472" s="74" t="n"/>
      <c r="F472" s="74" t="n"/>
    </row>
    <row r="473" ht="12.75" customHeight="1" s="58">
      <c r="A473" s="74" t="n"/>
      <c r="B473" s="74" t="n"/>
      <c r="C473" s="74" t="n"/>
      <c r="D473" s="74" t="n"/>
      <c r="E473" s="74" t="n"/>
      <c r="F473" s="74" t="n"/>
    </row>
    <row r="474" ht="12.75" customHeight="1" s="58">
      <c r="A474" s="74" t="n"/>
      <c r="B474" s="74" t="n"/>
      <c r="C474" s="74" t="n"/>
      <c r="D474" s="74" t="n"/>
      <c r="E474" s="74" t="n"/>
      <c r="F474" s="74" t="n"/>
    </row>
    <row r="475" ht="12.75" customHeight="1" s="58">
      <c r="A475" s="74" t="n"/>
      <c r="B475" s="74" t="n"/>
      <c r="C475" s="74" t="n"/>
      <c r="D475" s="74" t="n"/>
      <c r="E475" s="74" t="n"/>
      <c r="F475" s="74" t="n"/>
    </row>
    <row r="476" ht="12.75" customHeight="1" s="58">
      <c r="A476" s="74" t="n"/>
      <c r="B476" s="74" t="n"/>
      <c r="C476" s="74" t="n"/>
      <c r="D476" s="74" t="n"/>
      <c r="E476" s="74" t="n"/>
      <c r="F476" s="74" t="n"/>
    </row>
    <row r="477" ht="12.75" customHeight="1" s="58">
      <c r="A477" s="74" t="n"/>
      <c r="B477" s="74" t="n"/>
      <c r="C477" s="74" t="n"/>
      <c r="D477" s="74" t="n"/>
      <c r="E477" s="74" t="n"/>
      <c r="F477" s="74" t="n"/>
    </row>
    <row r="478" ht="12.75" customHeight="1" s="58">
      <c r="A478" s="74" t="n"/>
      <c r="B478" s="74" t="n"/>
      <c r="C478" s="74" t="n"/>
      <c r="D478" s="74" t="n"/>
      <c r="E478" s="74" t="n"/>
      <c r="F478" s="74" t="n"/>
    </row>
    <row r="479" ht="12.75" customHeight="1" s="58">
      <c r="A479" s="74" t="n"/>
      <c r="B479" s="74" t="n"/>
      <c r="C479" s="74" t="n"/>
      <c r="D479" s="74" t="n"/>
      <c r="E479" s="74" t="n"/>
      <c r="F479" s="74" t="n"/>
    </row>
    <row r="480" ht="12.75" customHeight="1" s="58">
      <c r="A480" s="74" t="n"/>
      <c r="B480" s="74" t="n"/>
      <c r="C480" s="74" t="n"/>
      <c r="D480" s="74" t="n"/>
      <c r="E480" s="74" t="n"/>
      <c r="F480" s="74" t="n"/>
    </row>
    <row r="481" ht="12.75" customHeight="1" s="58">
      <c r="A481" s="74" t="n"/>
      <c r="B481" s="74" t="n"/>
      <c r="C481" s="74" t="n"/>
      <c r="D481" s="74" t="n"/>
      <c r="E481" s="74" t="n"/>
      <c r="F481" s="74" t="n"/>
    </row>
    <row r="482" ht="12.75" customHeight="1" s="58">
      <c r="A482" s="74" t="n"/>
      <c r="B482" s="74" t="n"/>
      <c r="C482" s="74" t="n"/>
      <c r="D482" s="74" t="n"/>
      <c r="E482" s="74" t="n"/>
      <c r="F482" s="74" t="n"/>
    </row>
    <row r="483" ht="12.75" customHeight="1" s="58">
      <c r="A483" s="74" t="n"/>
      <c r="B483" s="74" t="n"/>
      <c r="C483" s="74" t="n"/>
      <c r="D483" s="74" t="n"/>
      <c r="E483" s="74" t="n"/>
      <c r="F483" s="74" t="n"/>
    </row>
    <row r="484" ht="12.75" customHeight="1" s="58">
      <c r="A484" s="74" t="n"/>
      <c r="B484" s="74" t="n"/>
      <c r="C484" s="74" t="n"/>
      <c r="D484" s="74" t="n"/>
      <c r="E484" s="74" t="n"/>
      <c r="F484" s="74" t="n"/>
    </row>
    <row r="485" ht="12.75" customHeight="1" s="58">
      <c r="A485" s="74" t="n"/>
      <c r="B485" s="74" t="n"/>
      <c r="C485" s="74" t="n"/>
      <c r="D485" s="74" t="n"/>
      <c r="E485" s="74" t="n"/>
      <c r="F485" s="74" t="n"/>
    </row>
    <row r="486" ht="12.75" customHeight="1" s="58">
      <c r="A486" s="74" t="n"/>
      <c r="B486" s="74" t="n"/>
      <c r="C486" s="74" t="n"/>
      <c r="D486" s="74" t="n"/>
      <c r="E486" s="74" t="n"/>
      <c r="F486" s="74" t="n"/>
    </row>
    <row r="487" ht="12.75" customHeight="1" s="58">
      <c r="A487" s="74" t="n"/>
      <c r="B487" s="74" t="n"/>
      <c r="C487" s="74" t="n"/>
      <c r="D487" s="74" t="n"/>
      <c r="E487" s="74" t="n"/>
      <c r="F487" s="74" t="n"/>
    </row>
    <row r="488" ht="12.75" customHeight="1" s="58">
      <c r="A488" s="74" t="n"/>
      <c r="B488" s="74" t="n"/>
      <c r="C488" s="74" t="n"/>
      <c r="D488" s="74" t="n"/>
      <c r="E488" s="74" t="n"/>
      <c r="F488" s="74" t="n"/>
    </row>
    <row r="489" ht="12.75" customHeight="1" s="58">
      <c r="A489" s="74" t="n"/>
      <c r="B489" s="74" t="n"/>
      <c r="C489" s="74" t="n"/>
      <c r="D489" s="74" t="n"/>
      <c r="E489" s="74" t="n"/>
      <c r="F489" s="74" t="n"/>
    </row>
    <row r="490" ht="12.75" customHeight="1" s="58">
      <c r="A490" s="74" t="n"/>
      <c r="B490" s="74" t="n"/>
      <c r="C490" s="74" t="n"/>
      <c r="D490" s="74" t="n"/>
      <c r="E490" s="74" t="n"/>
      <c r="F490" s="74" t="n"/>
    </row>
    <row r="491" ht="12.75" customHeight="1" s="58">
      <c r="A491" s="74" t="n"/>
      <c r="B491" s="74" t="n"/>
      <c r="C491" s="74" t="n"/>
      <c r="D491" s="74" t="n"/>
      <c r="E491" s="74" t="n"/>
      <c r="F491" s="74" t="n"/>
    </row>
    <row r="492" ht="12.75" customHeight="1" s="58">
      <c r="A492" s="74" t="n"/>
      <c r="B492" s="74" t="n"/>
      <c r="C492" s="74" t="n"/>
      <c r="D492" s="74" t="n"/>
      <c r="E492" s="74" t="n"/>
      <c r="F492" s="74" t="n"/>
    </row>
    <row r="493" ht="12.75" customHeight="1" s="58">
      <c r="A493" s="74" t="n"/>
      <c r="B493" s="74" t="n"/>
      <c r="C493" s="74" t="n"/>
      <c r="D493" s="74" t="n"/>
      <c r="E493" s="74" t="n"/>
      <c r="F493" s="74" t="n"/>
    </row>
    <row r="494" ht="12.75" customHeight="1" s="58">
      <c r="A494" s="74" t="n"/>
      <c r="B494" s="74" t="n"/>
      <c r="C494" s="74" t="n"/>
      <c r="D494" s="74" t="n"/>
      <c r="E494" s="74" t="n"/>
      <c r="F494" s="74" t="n"/>
    </row>
    <row r="495" ht="12.75" customHeight="1" s="58">
      <c r="A495" s="74" t="n"/>
      <c r="B495" s="74" t="n"/>
      <c r="C495" s="74" t="n"/>
      <c r="D495" s="74" t="n"/>
      <c r="E495" s="74" t="n"/>
      <c r="F495" s="74" t="n"/>
    </row>
    <row r="496" ht="12.75" customHeight="1" s="58">
      <c r="A496" s="74" t="n"/>
      <c r="B496" s="74" t="n"/>
      <c r="C496" s="74" t="n"/>
      <c r="D496" s="74" t="n"/>
      <c r="E496" s="74" t="n"/>
      <c r="F496" s="74" t="n"/>
    </row>
    <row r="497" ht="12.75" customHeight="1" s="58">
      <c r="A497" s="74" t="n"/>
      <c r="B497" s="74" t="n"/>
      <c r="C497" s="74" t="n"/>
      <c r="D497" s="74" t="n"/>
      <c r="E497" s="74" t="n"/>
      <c r="F497" s="74" t="n"/>
    </row>
    <row r="498" ht="12.75" customHeight="1" s="58">
      <c r="A498" s="74" t="n"/>
      <c r="B498" s="74" t="n"/>
      <c r="C498" s="74" t="n"/>
      <c r="D498" s="74" t="n"/>
      <c r="E498" s="74" t="n"/>
      <c r="F498" s="74" t="n"/>
    </row>
    <row r="499" ht="12.75" customHeight="1" s="58">
      <c r="A499" s="74" t="n"/>
      <c r="B499" s="74" t="n"/>
      <c r="C499" s="74" t="n"/>
      <c r="D499" s="74" t="n"/>
      <c r="E499" s="74" t="n"/>
      <c r="F499" s="74" t="n"/>
    </row>
    <row r="500" ht="12.75" customHeight="1" s="58">
      <c r="A500" s="74" t="n"/>
      <c r="B500" s="74" t="n"/>
      <c r="C500" s="74" t="n"/>
      <c r="D500" s="74" t="n"/>
      <c r="E500" s="74" t="n"/>
      <c r="F500" s="74" t="n"/>
    </row>
    <row r="501" ht="12.75" customHeight="1" s="58">
      <c r="A501" s="74" t="n"/>
      <c r="B501" s="74" t="n"/>
      <c r="C501" s="74" t="n"/>
      <c r="D501" s="74" t="n"/>
      <c r="E501" s="74" t="n"/>
      <c r="F501" s="74" t="n"/>
    </row>
    <row r="502" ht="12.75" customHeight="1" s="58">
      <c r="A502" s="74" t="n"/>
      <c r="B502" s="74" t="n"/>
      <c r="C502" s="74" t="n"/>
      <c r="D502" s="74" t="n"/>
      <c r="E502" s="74" t="n"/>
      <c r="F502" s="74" t="n"/>
    </row>
    <row r="503" ht="12.75" customHeight="1" s="58">
      <c r="A503" s="74" t="n"/>
      <c r="B503" s="74" t="n"/>
      <c r="C503" s="74" t="n"/>
      <c r="D503" s="74" t="n"/>
      <c r="E503" s="74" t="n"/>
      <c r="F503" s="74" t="n"/>
    </row>
    <row r="504" ht="12.75" customHeight="1" s="58">
      <c r="A504" s="74" t="n"/>
      <c r="B504" s="74" t="n"/>
      <c r="C504" s="74" t="n"/>
      <c r="D504" s="74" t="n"/>
      <c r="E504" s="74" t="n"/>
      <c r="F504" s="74" t="n"/>
    </row>
    <row r="505" ht="12.75" customHeight="1" s="58">
      <c r="A505" s="74" t="n"/>
      <c r="B505" s="74" t="n"/>
      <c r="C505" s="74" t="n"/>
      <c r="D505" s="74" t="n"/>
      <c r="E505" s="74" t="n"/>
      <c r="F505" s="74" t="n"/>
    </row>
    <row r="506" ht="12.75" customHeight="1" s="58">
      <c r="A506" s="74" t="n"/>
      <c r="B506" s="74" t="n"/>
      <c r="C506" s="74" t="n"/>
      <c r="D506" s="74" t="n"/>
      <c r="E506" s="74" t="n"/>
      <c r="F506" s="74" t="n"/>
    </row>
    <row r="507" ht="12.75" customHeight="1" s="58">
      <c r="A507" s="74" t="n"/>
      <c r="B507" s="74" t="n"/>
      <c r="C507" s="74" t="n"/>
      <c r="D507" s="74" t="n"/>
      <c r="E507" s="74" t="n"/>
      <c r="F507" s="74" t="n"/>
    </row>
    <row r="508" ht="12.75" customHeight="1" s="58">
      <c r="A508" s="74" t="n"/>
      <c r="B508" s="74" t="n"/>
      <c r="C508" s="74" t="n"/>
      <c r="D508" s="74" t="n"/>
      <c r="E508" s="74" t="n"/>
      <c r="F508" s="74" t="n"/>
    </row>
    <row r="509" ht="12.75" customHeight="1" s="58">
      <c r="A509" s="74" t="n"/>
      <c r="B509" s="74" t="n"/>
      <c r="C509" s="74" t="n"/>
      <c r="D509" s="74" t="n"/>
      <c r="E509" s="74" t="n"/>
      <c r="F509" s="74" t="n"/>
    </row>
    <row r="510" ht="12.75" customHeight="1" s="58">
      <c r="A510" s="74" t="n"/>
      <c r="B510" s="74" t="n"/>
      <c r="C510" s="74" t="n"/>
      <c r="D510" s="74" t="n"/>
      <c r="E510" s="74" t="n"/>
      <c r="F510" s="74" t="n"/>
    </row>
    <row r="511" ht="12.75" customHeight="1" s="58">
      <c r="A511" s="74" t="n"/>
      <c r="B511" s="74" t="n"/>
      <c r="C511" s="74" t="n"/>
      <c r="D511" s="74" t="n"/>
      <c r="E511" s="74" t="n"/>
      <c r="F511" s="74" t="n"/>
    </row>
    <row r="512" ht="12.75" customHeight="1" s="58">
      <c r="A512" s="74" t="n"/>
      <c r="B512" s="74" t="n"/>
      <c r="C512" s="74" t="n"/>
      <c r="D512" s="74" t="n"/>
      <c r="E512" s="74" t="n"/>
      <c r="F512" s="74" t="n"/>
    </row>
    <row r="513" ht="12.75" customHeight="1" s="58">
      <c r="A513" s="74" t="n"/>
      <c r="B513" s="74" t="n"/>
      <c r="C513" s="74" t="n"/>
      <c r="D513" s="74" t="n"/>
      <c r="E513" s="74" t="n"/>
      <c r="F513" s="74" t="n"/>
    </row>
    <row r="514" ht="12.75" customHeight="1" s="58">
      <c r="A514" s="74" t="n"/>
      <c r="B514" s="74" t="n"/>
      <c r="C514" s="74" t="n"/>
      <c r="D514" s="74" t="n"/>
      <c r="E514" s="74" t="n"/>
      <c r="F514" s="74" t="n"/>
    </row>
    <row r="515" ht="12.75" customHeight="1" s="58">
      <c r="A515" s="74" t="n"/>
      <c r="B515" s="74" t="n"/>
      <c r="C515" s="74" t="n"/>
      <c r="D515" s="74" t="n"/>
      <c r="E515" s="74" t="n"/>
      <c r="F515" s="74" t="n"/>
    </row>
    <row r="516" ht="12.75" customHeight="1" s="58">
      <c r="A516" s="74" t="n"/>
      <c r="B516" s="74" t="n"/>
      <c r="C516" s="74" t="n"/>
      <c r="D516" s="74" t="n"/>
      <c r="E516" s="74" t="n"/>
      <c r="F516" s="74" t="n"/>
    </row>
    <row r="517" ht="12.75" customHeight="1" s="58">
      <c r="A517" s="74" t="n"/>
      <c r="B517" s="74" t="n"/>
      <c r="C517" s="74" t="n"/>
      <c r="D517" s="74" t="n"/>
      <c r="E517" s="74" t="n"/>
      <c r="F517" s="74" t="n"/>
    </row>
    <row r="518" ht="12.75" customHeight="1" s="58">
      <c r="A518" s="74" t="n"/>
      <c r="B518" s="74" t="n"/>
      <c r="C518" s="74" t="n"/>
      <c r="D518" s="74" t="n"/>
      <c r="E518" s="74" t="n"/>
      <c r="F518" s="74" t="n"/>
    </row>
    <row r="519" ht="12.75" customHeight="1" s="58">
      <c r="A519" s="74" t="n"/>
      <c r="B519" s="74" t="n"/>
      <c r="C519" s="74" t="n"/>
      <c r="D519" s="74" t="n"/>
      <c r="E519" s="74" t="n"/>
      <c r="F519" s="74" t="n"/>
    </row>
    <row r="520" ht="12.75" customHeight="1" s="58">
      <c r="A520" s="74" t="n"/>
      <c r="B520" s="74" t="n"/>
      <c r="C520" s="74" t="n"/>
      <c r="D520" s="74" t="n"/>
      <c r="E520" s="74" t="n"/>
      <c r="F520" s="74" t="n"/>
    </row>
    <row r="521" ht="12.75" customHeight="1" s="58">
      <c r="A521" s="74" t="n"/>
      <c r="B521" s="74" t="n"/>
      <c r="C521" s="74" t="n"/>
      <c r="D521" s="74" t="n"/>
      <c r="E521" s="74" t="n"/>
      <c r="F521" s="74" t="n"/>
    </row>
    <row r="522" ht="12.75" customHeight="1" s="58">
      <c r="A522" s="74" t="n"/>
      <c r="B522" s="74" t="n"/>
      <c r="C522" s="74" t="n"/>
      <c r="D522" s="74" t="n"/>
      <c r="E522" s="74" t="n"/>
      <c r="F522" s="74" t="n"/>
    </row>
    <row r="523" ht="12.75" customHeight="1" s="58">
      <c r="A523" s="74" t="n"/>
      <c r="B523" s="74" t="n"/>
      <c r="C523" s="74" t="n"/>
      <c r="D523" s="74" t="n"/>
      <c r="E523" s="74" t="n"/>
      <c r="F523" s="74" t="n"/>
    </row>
    <row r="524" ht="12.75" customHeight="1" s="58">
      <c r="A524" s="74" t="n"/>
      <c r="B524" s="74" t="n"/>
      <c r="C524" s="74" t="n"/>
      <c r="D524" s="74" t="n"/>
      <c r="E524" s="74" t="n"/>
      <c r="F524" s="74" t="n"/>
    </row>
    <row r="525" ht="12.75" customHeight="1" s="58">
      <c r="A525" s="74" t="n"/>
      <c r="B525" s="74" t="n"/>
      <c r="C525" s="74" t="n"/>
      <c r="D525" s="74" t="n"/>
      <c r="E525" s="74" t="n"/>
      <c r="F525" s="74" t="n"/>
    </row>
    <row r="526" ht="12.75" customHeight="1" s="58">
      <c r="A526" s="74" t="n"/>
      <c r="B526" s="74" t="n"/>
      <c r="C526" s="74" t="n"/>
      <c r="D526" s="74" t="n"/>
      <c r="E526" s="74" t="n"/>
      <c r="F526" s="74" t="n"/>
    </row>
    <row r="527" ht="12.75" customHeight="1" s="58">
      <c r="A527" s="74" t="n"/>
      <c r="B527" s="74" t="n"/>
      <c r="C527" s="74" t="n"/>
      <c r="D527" s="74" t="n"/>
      <c r="E527" s="74" t="n"/>
      <c r="F527" s="74" t="n"/>
    </row>
    <row r="528" ht="12.75" customHeight="1" s="58">
      <c r="A528" s="74" t="n"/>
      <c r="B528" s="74" t="n"/>
      <c r="C528" s="74" t="n"/>
      <c r="D528" s="74" t="n"/>
      <c r="E528" s="74" t="n"/>
      <c r="F528" s="74" t="n"/>
    </row>
    <row r="529" ht="12.75" customHeight="1" s="58">
      <c r="A529" s="74" t="n"/>
      <c r="B529" s="74" t="n"/>
      <c r="C529" s="74" t="n"/>
      <c r="D529" s="74" t="n"/>
      <c r="E529" s="74" t="n"/>
      <c r="F529" s="74" t="n"/>
    </row>
    <row r="530" ht="12.75" customHeight="1" s="58">
      <c r="A530" s="74" t="n"/>
      <c r="B530" s="74" t="n"/>
      <c r="C530" s="74" t="n"/>
      <c r="D530" s="74" t="n"/>
      <c r="E530" s="74" t="n"/>
      <c r="F530" s="74" t="n"/>
    </row>
    <row r="531" ht="12.75" customHeight="1" s="58">
      <c r="A531" s="74" t="n"/>
      <c r="B531" s="74" t="n"/>
      <c r="C531" s="74" t="n"/>
      <c r="D531" s="74" t="n"/>
      <c r="E531" s="74" t="n"/>
      <c r="F531" s="74" t="n"/>
    </row>
    <row r="532" ht="12.75" customHeight="1" s="58">
      <c r="A532" s="74" t="n"/>
      <c r="B532" s="74" t="n"/>
      <c r="C532" s="74" t="n"/>
      <c r="D532" s="74" t="n"/>
      <c r="E532" s="74" t="n"/>
      <c r="F532" s="74" t="n"/>
    </row>
    <row r="533" ht="12.75" customHeight="1" s="58">
      <c r="A533" s="74" t="n"/>
      <c r="B533" s="74" t="n"/>
      <c r="C533" s="74" t="n"/>
      <c r="D533" s="74" t="n"/>
      <c r="E533" s="74" t="n"/>
      <c r="F533" s="74" t="n"/>
    </row>
    <row r="534" ht="12.75" customHeight="1" s="58">
      <c r="A534" s="74" t="n"/>
      <c r="B534" s="74" t="n"/>
      <c r="C534" s="74" t="n"/>
      <c r="D534" s="74" t="n"/>
      <c r="E534" s="74" t="n"/>
      <c r="F534" s="74" t="n"/>
    </row>
    <row r="535" ht="12.75" customHeight="1" s="58">
      <c r="A535" s="74" t="n"/>
      <c r="B535" s="74" t="n"/>
      <c r="C535" s="74" t="n"/>
      <c r="D535" s="74" t="n"/>
      <c r="E535" s="74" t="n"/>
      <c r="F535" s="74" t="n"/>
    </row>
    <row r="536" ht="12.75" customHeight="1" s="58">
      <c r="A536" s="74" t="n"/>
      <c r="B536" s="74" t="n"/>
      <c r="C536" s="74" t="n"/>
      <c r="D536" s="74" t="n"/>
      <c r="E536" s="74" t="n"/>
      <c r="F536" s="74" t="n"/>
    </row>
    <row r="537" ht="12.75" customHeight="1" s="58">
      <c r="A537" s="74" t="n"/>
      <c r="B537" s="74" t="n"/>
      <c r="C537" s="74" t="n"/>
      <c r="D537" s="74" t="n"/>
      <c r="E537" s="74" t="n"/>
      <c r="F537" s="74" t="n"/>
    </row>
    <row r="538" ht="12.75" customHeight="1" s="58">
      <c r="A538" s="74" t="n"/>
      <c r="B538" s="74" t="n"/>
      <c r="C538" s="74" t="n"/>
      <c r="D538" s="74" t="n"/>
      <c r="E538" s="74" t="n"/>
      <c r="F538" s="74" t="n"/>
    </row>
    <row r="539" ht="12.75" customHeight="1" s="58">
      <c r="A539" s="74" t="n"/>
      <c r="B539" s="74" t="n"/>
      <c r="C539" s="74" t="n"/>
      <c r="D539" s="74" t="n"/>
      <c r="E539" s="74" t="n"/>
      <c r="F539" s="74" t="n"/>
    </row>
    <row r="540" ht="12.75" customHeight="1" s="58">
      <c r="A540" s="74" t="n"/>
      <c r="B540" s="74" t="n"/>
      <c r="C540" s="74" t="n"/>
      <c r="D540" s="74" t="n"/>
      <c r="E540" s="74" t="n"/>
      <c r="F540" s="74" t="n"/>
    </row>
    <row r="541" ht="12.75" customHeight="1" s="58">
      <c r="A541" s="74" t="n"/>
      <c r="B541" s="74" t="n"/>
      <c r="C541" s="74" t="n"/>
      <c r="D541" s="74" t="n"/>
      <c r="E541" s="74" t="n"/>
      <c r="F541" s="74" t="n"/>
    </row>
    <row r="542" ht="12.75" customHeight="1" s="58">
      <c r="A542" s="74" t="n"/>
      <c r="B542" s="74" t="n"/>
      <c r="C542" s="74" t="n"/>
      <c r="D542" s="74" t="n"/>
      <c r="E542" s="74" t="n"/>
      <c r="F542" s="74" t="n"/>
    </row>
    <row r="543" ht="12.75" customHeight="1" s="58">
      <c r="A543" s="74" t="n"/>
      <c r="B543" s="74" t="n"/>
      <c r="C543" s="74" t="n"/>
      <c r="D543" s="74" t="n"/>
      <c r="E543" s="74" t="n"/>
      <c r="F543" s="74" t="n"/>
    </row>
    <row r="544" ht="12.75" customHeight="1" s="58">
      <c r="A544" s="74" t="n"/>
      <c r="B544" s="74" t="n"/>
      <c r="C544" s="74" t="n"/>
      <c r="D544" s="74" t="n"/>
      <c r="E544" s="74" t="n"/>
      <c r="F544" s="74" t="n"/>
    </row>
    <row r="545" ht="12.75" customHeight="1" s="58">
      <c r="A545" s="74" t="n"/>
      <c r="B545" s="74" t="n"/>
      <c r="C545" s="74" t="n"/>
      <c r="D545" s="74" t="n"/>
      <c r="E545" s="74" t="n"/>
      <c r="F545" s="74" t="n"/>
    </row>
    <row r="546" ht="12.75" customHeight="1" s="58">
      <c r="A546" s="74" t="n"/>
      <c r="B546" s="74" t="n"/>
      <c r="C546" s="74" t="n"/>
      <c r="D546" s="74" t="n"/>
      <c r="E546" s="74" t="n"/>
      <c r="F546" s="74" t="n"/>
    </row>
    <row r="547" ht="12.75" customHeight="1" s="58">
      <c r="A547" s="74" t="n"/>
      <c r="B547" s="74" t="n"/>
      <c r="C547" s="74" t="n"/>
      <c r="D547" s="74" t="n"/>
      <c r="E547" s="74" t="n"/>
      <c r="F547" s="74" t="n"/>
    </row>
    <row r="548" ht="12.75" customHeight="1" s="58">
      <c r="A548" s="74" t="n"/>
      <c r="B548" s="74" t="n"/>
      <c r="C548" s="74" t="n"/>
      <c r="D548" s="74" t="n"/>
      <c r="E548" s="74" t="n"/>
      <c r="F548" s="74" t="n"/>
    </row>
    <row r="549" ht="12.75" customHeight="1" s="58">
      <c r="A549" s="74" t="n"/>
      <c r="B549" s="74" t="n"/>
      <c r="C549" s="74" t="n"/>
      <c r="D549" s="74" t="n"/>
      <c r="E549" s="74" t="n"/>
      <c r="F549" s="74" t="n"/>
    </row>
    <row r="550" ht="12.75" customHeight="1" s="58">
      <c r="A550" s="74" t="n"/>
      <c r="B550" s="74" t="n"/>
      <c r="C550" s="74" t="n"/>
      <c r="D550" s="74" t="n"/>
      <c r="E550" s="74" t="n"/>
      <c r="F550" s="74" t="n"/>
    </row>
    <row r="551" ht="12.75" customHeight="1" s="58">
      <c r="A551" s="74" t="n"/>
      <c r="B551" s="74" t="n"/>
      <c r="C551" s="74" t="n"/>
      <c r="D551" s="74" t="n"/>
      <c r="E551" s="74" t="n"/>
      <c r="F551" s="74" t="n"/>
    </row>
    <row r="552" ht="12.75" customHeight="1" s="58">
      <c r="A552" s="74" t="n"/>
      <c r="B552" s="74" t="n"/>
      <c r="C552" s="74" t="n"/>
      <c r="D552" s="74" t="n"/>
      <c r="E552" s="74" t="n"/>
      <c r="F552" s="74" t="n"/>
    </row>
    <row r="553" ht="12.75" customHeight="1" s="58">
      <c r="A553" s="74" t="n"/>
      <c r="B553" s="74" t="n"/>
      <c r="C553" s="74" t="n"/>
      <c r="D553" s="74" t="n"/>
      <c r="E553" s="74" t="n"/>
      <c r="F553" s="74" t="n"/>
    </row>
    <row r="554" ht="12.75" customHeight="1" s="58">
      <c r="A554" s="74" t="n"/>
      <c r="B554" s="74" t="n"/>
      <c r="C554" s="74" t="n"/>
      <c r="D554" s="74" t="n"/>
      <c r="E554" s="74" t="n"/>
      <c r="F554" s="74" t="n"/>
    </row>
    <row r="555" ht="12.75" customHeight="1" s="58">
      <c r="A555" s="74" t="n"/>
      <c r="B555" s="74" t="n"/>
      <c r="C555" s="74" t="n"/>
      <c r="D555" s="74" t="n"/>
      <c r="E555" s="74" t="n"/>
      <c r="F555" s="74" t="n"/>
    </row>
    <row r="556" ht="12.75" customHeight="1" s="58">
      <c r="A556" s="74" t="n"/>
      <c r="B556" s="74" t="n"/>
      <c r="C556" s="74" t="n"/>
      <c r="D556" s="74" t="n"/>
      <c r="E556" s="74" t="n"/>
      <c r="F556" s="74" t="n"/>
    </row>
    <row r="557" ht="12.75" customHeight="1" s="58">
      <c r="A557" s="74" t="n"/>
      <c r="B557" s="74" t="n"/>
      <c r="C557" s="74" t="n"/>
      <c r="D557" s="74" t="n"/>
      <c r="E557" s="74" t="n"/>
      <c r="F557" s="74" t="n"/>
    </row>
    <row r="558" ht="12.75" customHeight="1" s="58">
      <c r="A558" s="74" t="n"/>
      <c r="B558" s="74" t="n"/>
      <c r="C558" s="74" t="n"/>
      <c r="D558" s="74" t="n"/>
      <c r="E558" s="74" t="n"/>
      <c r="F558" s="74" t="n"/>
    </row>
    <row r="559" ht="12.75" customHeight="1" s="58">
      <c r="A559" s="74" t="n"/>
      <c r="B559" s="74" t="n"/>
      <c r="C559" s="74" t="n"/>
      <c r="D559" s="74" t="n"/>
      <c r="E559" s="74" t="n"/>
      <c r="F559" s="74" t="n"/>
    </row>
    <row r="560" ht="12.75" customHeight="1" s="58">
      <c r="A560" s="74" t="n"/>
      <c r="B560" s="74" t="n"/>
      <c r="C560" s="74" t="n"/>
      <c r="D560" s="74" t="n"/>
      <c r="E560" s="74" t="n"/>
      <c r="F560" s="74" t="n"/>
    </row>
    <row r="561" ht="12.75" customHeight="1" s="58">
      <c r="A561" s="74" t="n"/>
      <c r="B561" s="74" t="n"/>
      <c r="C561" s="74" t="n"/>
      <c r="D561" s="74" t="n"/>
      <c r="E561" s="74" t="n"/>
      <c r="F561" s="74" t="n"/>
    </row>
    <row r="562" ht="12.75" customHeight="1" s="58">
      <c r="A562" s="74" t="n"/>
      <c r="B562" s="74" t="n"/>
      <c r="C562" s="74" t="n"/>
      <c r="D562" s="74" t="n"/>
      <c r="E562" s="74" t="n"/>
      <c r="F562" s="74" t="n"/>
    </row>
    <row r="563" ht="12.75" customHeight="1" s="58">
      <c r="A563" s="74" t="n"/>
      <c r="B563" s="74" t="n"/>
      <c r="C563" s="74" t="n"/>
      <c r="D563" s="74" t="n"/>
      <c r="E563" s="74" t="n"/>
      <c r="F563" s="74" t="n"/>
    </row>
    <row r="564" ht="12.75" customHeight="1" s="58">
      <c r="A564" s="74" t="n"/>
      <c r="B564" s="74" t="n"/>
      <c r="C564" s="74" t="n"/>
      <c r="D564" s="74" t="n"/>
      <c r="E564" s="74" t="n"/>
      <c r="F564" s="74" t="n"/>
    </row>
    <row r="565" ht="12.75" customHeight="1" s="58">
      <c r="A565" s="74" t="n"/>
      <c r="B565" s="74" t="n"/>
      <c r="C565" s="74" t="n"/>
      <c r="D565" s="74" t="n"/>
      <c r="E565" s="74" t="n"/>
      <c r="F565" s="74" t="n"/>
    </row>
    <row r="566" ht="12.75" customHeight="1" s="58">
      <c r="A566" s="74" t="n"/>
      <c r="B566" s="74" t="n"/>
      <c r="C566" s="74" t="n"/>
      <c r="D566" s="74" t="n"/>
      <c r="E566" s="74" t="n"/>
      <c r="F566" s="74" t="n"/>
    </row>
    <row r="567" ht="12.75" customHeight="1" s="58">
      <c r="A567" s="74" t="n"/>
      <c r="B567" s="74" t="n"/>
      <c r="C567" s="74" t="n"/>
      <c r="D567" s="74" t="n"/>
      <c r="E567" s="74" t="n"/>
      <c r="F567" s="74" t="n"/>
    </row>
    <row r="568" ht="12.75" customHeight="1" s="58">
      <c r="A568" s="74" t="n"/>
      <c r="B568" s="74" t="n"/>
      <c r="C568" s="74" t="n"/>
      <c r="D568" s="74" t="n"/>
      <c r="E568" s="74" t="n"/>
      <c r="F568" s="74" t="n"/>
    </row>
    <row r="569" ht="12.75" customHeight="1" s="58">
      <c r="A569" s="74" t="n"/>
      <c r="B569" s="74" t="n"/>
      <c r="C569" s="74" t="n"/>
      <c r="D569" s="74" t="n"/>
      <c r="E569" s="74" t="n"/>
      <c r="F569" s="74" t="n"/>
    </row>
    <row r="570" ht="12.75" customHeight="1" s="58">
      <c r="A570" s="74" t="n"/>
      <c r="B570" s="74" t="n"/>
      <c r="C570" s="74" t="n"/>
      <c r="D570" s="74" t="n"/>
      <c r="E570" s="74" t="n"/>
      <c r="F570" s="74" t="n"/>
    </row>
    <row r="571" ht="12.75" customHeight="1" s="58">
      <c r="A571" s="74" t="n"/>
      <c r="B571" s="74" t="n"/>
      <c r="C571" s="74" t="n"/>
      <c r="D571" s="74" t="n"/>
      <c r="E571" s="74" t="n"/>
      <c r="F571" s="74" t="n"/>
    </row>
    <row r="572" ht="12.75" customHeight="1" s="58">
      <c r="A572" s="74" t="n"/>
      <c r="B572" s="74" t="n"/>
      <c r="C572" s="74" t="n"/>
      <c r="D572" s="74" t="n"/>
      <c r="E572" s="74" t="n"/>
      <c r="F572" s="74" t="n"/>
    </row>
    <row r="573" ht="12.75" customHeight="1" s="58">
      <c r="A573" s="74" t="n"/>
      <c r="B573" s="74" t="n"/>
      <c r="C573" s="74" t="n"/>
      <c r="D573" s="74" t="n"/>
      <c r="E573" s="74" t="n"/>
      <c r="F573" s="74" t="n"/>
    </row>
    <row r="574" ht="12.75" customHeight="1" s="58">
      <c r="A574" s="74" t="n"/>
      <c r="B574" s="74" t="n"/>
      <c r="C574" s="74" t="n"/>
      <c r="D574" s="74" t="n"/>
      <c r="E574" s="74" t="n"/>
      <c r="F574" s="74" t="n"/>
    </row>
    <row r="575" ht="12.75" customHeight="1" s="58">
      <c r="A575" s="74" t="n"/>
      <c r="B575" s="74" t="n"/>
      <c r="C575" s="74" t="n"/>
      <c r="D575" s="74" t="n"/>
      <c r="E575" s="74" t="n"/>
      <c r="F575" s="74" t="n"/>
    </row>
    <row r="576" ht="12.75" customHeight="1" s="58">
      <c r="A576" s="74" t="n"/>
      <c r="B576" s="74" t="n"/>
      <c r="C576" s="74" t="n"/>
      <c r="D576" s="74" t="n"/>
      <c r="E576" s="74" t="n"/>
      <c r="F576" s="74" t="n"/>
    </row>
    <row r="577" ht="12.75" customHeight="1" s="58">
      <c r="A577" s="74" t="n"/>
      <c r="B577" s="74" t="n"/>
      <c r="C577" s="74" t="n"/>
      <c r="D577" s="74" t="n"/>
      <c r="E577" s="74" t="n"/>
      <c r="F577" s="74" t="n"/>
    </row>
    <row r="578" ht="12.75" customHeight="1" s="58">
      <c r="A578" s="74" t="n"/>
      <c r="B578" s="74" t="n"/>
      <c r="C578" s="74" t="n"/>
      <c r="D578" s="74" t="n"/>
      <c r="E578" s="74" t="n"/>
      <c r="F578" s="74" t="n"/>
    </row>
    <row r="579" ht="12.75" customHeight="1" s="58">
      <c r="A579" s="74" t="n"/>
      <c r="B579" s="74" t="n"/>
      <c r="C579" s="74" t="n"/>
      <c r="D579" s="74" t="n"/>
      <c r="E579" s="74" t="n"/>
      <c r="F579" s="74" t="n"/>
    </row>
    <row r="580" ht="12.75" customHeight="1" s="58">
      <c r="A580" s="74" t="n"/>
      <c r="B580" s="74" t="n"/>
      <c r="C580" s="74" t="n"/>
      <c r="D580" s="74" t="n"/>
      <c r="E580" s="74" t="n"/>
      <c r="F580" s="74" t="n"/>
    </row>
    <row r="581" ht="12.75" customHeight="1" s="58">
      <c r="A581" s="74" t="n"/>
      <c r="B581" s="74" t="n"/>
      <c r="C581" s="74" t="n"/>
      <c r="D581" s="74" t="n"/>
      <c r="E581" s="74" t="n"/>
      <c r="F581" s="74" t="n"/>
    </row>
    <row r="582" ht="12.75" customHeight="1" s="58">
      <c r="A582" s="74" t="n"/>
      <c r="B582" s="74" t="n"/>
      <c r="C582" s="74" t="n"/>
      <c r="D582" s="74" t="n"/>
      <c r="E582" s="74" t="n"/>
      <c r="F582" s="74" t="n"/>
    </row>
    <row r="583" ht="12.75" customHeight="1" s="58">
      <c r="A583" s="74" t="n"/>
      <c r="B583" s="74" t="n"/>
      <c r="C583" s="74" t="n"/>
      <c r="D583" s="74" t="n"/>
      <c r="E583" s="74" t="n"/>
      <c r="F583" s="74" t="n"/>
    </row>
    <row r="584" ht="12.75" customHeight="1" s="58">
      <c r="A584" s="74" t="n"/>
      <c r="B584" s="74" t="n"/>
      <c r="C584" s="74" t="n"/>
      <c r="D584" s="74" t="n"/>
      <c r="E584" s="74" t="n"/>
      <c r="F584" s="74" t="n"/>
    </row>
    <row r="585" ht="12.75" customHeight="1" s="58">
      <c r="A585" s="74" t="n"/>
      <c r="B585" s="74" t="n"/>
      <c r="C585" s="74" t="n"/>
      <c r="D585" s="74" t="n"/>
      <c r="E585" s="74" t="n"/>
      <c r="F585" s="74" t="n"/>
    </row>
    <row r="586" ht="12.75" customHeight="1" s="58">
      <c r="A586" s="74" t="n"/>
      <c r="B586" s="74" t="n"/>
      <c r="C586" s="74" t="n"/>
      <c r="D586" s="74" t="n"/>
      <c r="E586" s="74" t="n"/>
      <c r="F586" s="74" t="n"/>
    </row>
    <row r="587" ht="12.75" customHeight="1" s="58">
      <c r="A587" s="74" t="n"/>
      <c r="B587" s="74" t="n"/>
      <c r="C587" s="74" t="n"/>
      <c r="D587" s="74" t="n"/>
      <c r="E587" s="74" t="n"/>
      <c r="F587" s="74" t="n"/>
    </row>
    <row r="588" ht="12.75" customHeight="1" s="58">
      <c r="A588" s="74" t="n"/>
      <c r="B588" s="74" t="n"/>
      <c r="C588" s="74" t="n"/>
      <c r="D588" s="74" t="n"/>
      <c r="E588" s="74" t="n"/>
      <c r="F588" s="74" t="n"/>
    </row>
    <row r="589" ht="12.75" customHeight="1" s="58">
      <c r="A589" s="74" t="n"/>
      <c r="B589" s="74" t="n"/>
      <c r="C589" s="74" t="n"/>
      <c r="D589" s="74" t="n"/>
      <c r="E589" s="74" t="n"/>
      <c r="F589" s="74" t="n"/>
    </row>
    <row r="590" ht="12.75" customHeight="1" s="58">
      <c r="A590" s="74" t="n"/>
      <c r="B590" s="74" t="n"/>
      <c r="C590" s="74" t="n"/>
      <c r="D590" s="74" t="n"/>
      <c r="E590" s="74" t="n"/>
      <c r="F590" s="74" t="n"/>
    </row>
    <row r="591" ht="12.75" customHeight="1" s="58">
      <c r="A591" s="74" t="n"/>
      <c r="B591" s="74" t="n"/>
      <c r="C591" s="74" t="n"/>
      <c r="D591" s="74" t="n"/>
      <c r="E591" s="74" t="n"/>
      <c r="F591" s="74" t="n"/>
    </row>
    <row r="592" ht="12.75" customHeight="1" s="58">
      <c r="A592" s="74" t="n"/>
      <c r="B592" s="74" t="n"/>
      <c r="C592" s="74" t="n"/>
      <c r="D592" s="74" t="n"/>
      <c r="E592" s="74" t="n"/>
      <c r="F592" s="74" t="n"/>
    </row>
    <row r="593" ht="12.75" customHeight="1" s="58">
      <c r="A593" s="74" t="n"/>
      <c r="B593" s="74" t="n"/>
      <c r="C593" s="74" t="n"/>
      <c r="D593" s="74" t="n"/>
      <c r="E593" s="74" t="n"/>
      <c r="F593" s="74" t="n"/>
    </row>
    <row r="594" ht="12.75" customHeight="1" s="58">
      <c r="A594" s="74" t="n"/>
      <c r="B594" s="74" t="n"/>
      <c r="C594" s="74" t="n"/>
      <c r="D594" s="74" t="n"/>
      <c r="E594" s="74" t="n"/>
      <c r="F594" s="74" t="n"/>
    </row>
    <row r="595" ht="12.75" customHeight="1" s="58">
      <c r="A595" s="74" t="n"/>
      <c r="B595" s="74" t="n"/>
      <c r="C595" s="74" t="n"/>
      <c r="D595" s="74" t="n"/>
      <c r="E595" s="74" t="n"/>
      <c r="F595" s="74" t="n"/>
    </row>
    <row r="596" ht="12.75" customHeight="1" s="58">
      <c r="A596" s="74" t="n"/>
      <c r="B596" s="74" t="n"/>
      <c r="C596" s="74" t="n"/>
      <c r="D596" s="74" t="n"/>
      <c r="E596" s="74" t="n"/>
      <c r="F596" s="74" t="n"/>
    </row>
    <row r="597" ht="12.75" customHeight="1" s="58">
      <c r="A597" s="74" t="n"/>
      <c r="B597" s="74" t="n"/>
      <c r="C597" s="74" t="n"/>
      <c r="D597" s="74" t="n"/>
      <c r="E597" s="74" t="n"/>
      <c r="F597" s="74" t="n"/>
    </row>
    <row r="598" ht="12.75" customHeight="1" s="58">
      <c r="A598" s="74" t="n"/>
      <c r="B598" s="74" t="n"/>
      <c r="C598" s="74" t="n"/>
      <c r="D598" s="74" t="n"/>
      <c r="E598" s="74" t="n"/>
      <c r="F598" s="74" t="n"/>
    </row>
    <row r="599" ht="12.75" customHeight="1" s="58">
      <c r="A599" s="74" t="n"/>
      <c r="B599" s="74" t="n"/>
      <c r="C599" s="74" t="n"/>
      <c r="D599" s="74" t="n"/>
      <c r="E599" s="74" t="n"/>
      <c r="F599" s="74" t="n"/>
    </row>
    <row r="600" ht="12.75" customHeight="1" s="58">
      <c r="A600" s="74" t="n"/>
      <c r="B600" s="74" t="n"/>
      <c r="C600" s="74" t="n"/>
      <c r="D600" s="74" t="n"/>
      <c r="E600" s="74" t="n"/>
      <c r="F600" s="74" t="n"/>
    </row>
    <row r="601" ht="12.75" customHeight="1" s="58">
      <c r="A601" s="74" t="n"/>
      <c r="B601" s="74" t="n"/>
      <c r="C601" s="74" t="n"/>
      <c r="D601" s="74" t="n"/>
      <c r="E601" s="74" t="n"/>
      <c r="F601" s="74" t="n"/>
    </row>
    <row r="602" ht="12.75" customHeight="1" s="58">
      <c r="A602" s="74" t="n"/>
      <c r="B602" s="74" t="n"/>
      <c r="C602" s="74" t="n"/>
      <c r="D602" s="74" t="n"/>
      <c r="E602" s="74" t="n"/>
      <c r="F602" s="74" t="n"/>
    </row>
    <row r="603" ht="12.75" customHeight="1" s="58">
      <c r="A603" s="74" t="n"/>
      <c r="B603" s="74" t="n"/>
      <c r="C603" s="74" t="n"/>
      <c r="D603" s="74" t="n"/>
      <c r="E603" s="74" t="n"/>
      <c r="F603" s="74" t="n"/>
    </row>
    <row r="604" ht="12.75" customHeight="1" s="58">
      <c r="A604" s="74" t="n"/>
      <c r="B604" s="74" t="n"/>
      <c r="C604" s="74" t="n"/>
      <c r="D604" s="74" t="n"/>
      <c r="E604" s="74" t="n"/>
      <c r="F604" s="74" t="n"/>
    </row>
    <row r="605" ht="12.75" customHeight="1" s="58">
      <c r="A605" s="74" t="n"/>
      <c r="B605" s="74" t="n"/>
      <c r="C605" s="74" t="n"/>
      <c r="D605" s="74" t="n"/>
      <c r="E605" s="74" t="n"/>
      <c r="F605" s="74" t="n"/>
    </row>
    <row r="606" ht="12.75" customHeight="1" s="58">
      <c r="A606" s="74" t="n"/>
      <c r="B606" s="74" t="n"/>
      <c r="C606" s="74" t="n"/>
      <c r="D606" s="74" t="n"/>
      <c r="E606" s="74" t="n"/>
      <c r="F606" s="74" t="n"/>
    </row>
    <row r="607" ht="12.75" customHeight="1" s="58">
      <c r="A607" s="74" t="n"/>
      <c r="B607" s="74" t="n"/>
      <c r="C607" s="74" t="n"/>
      <c r="D607" s="74" t="n"/>
      <c r="E607" s="74" t="n"/>
      <c r="F607" s="74" t="n"/>
    </row>
    <row r="608" ht="12.75" customHeight="1" s="58">
      <c r="A608" s="74" t="n"/>
      <c r="B608" s="74" t="n"/>
      <c r="C608" s="74" t="n"/>
      <c r="D608" s="74" t="n"/>
      <c r="E608" s="74" t="n"/>
      <c r="F608" s="74" t="n"/>
    </row>
    <row r="609" ht="12.75" customHeight="1" s="58">
      <c r="A609" s="74" t="n"/>
      <c r="B609" s="74" t="n"/>
      <c r="C609" s="74" t="n"/>
      <c r="D609" s="74" t="n"/>
      <c r="E609" s="74" t="n"/>
      <c r="F609" s="74" t="n"/>
    </row>
    <row r="610" ht="12.75" customHeight="1" s="58">
      <c r="A610" s="74" t="n"/>
      <c r="B610" s="74" t="n"/>
      <c r="C610" s="74" t="n"/>
      <c r="D610" s="74" t="n"/>
      <c r="E610" s="74" t="n"/>
      <c r="F610" s="74" t="n"/>
    </row>
    <row r="611" ht="12.75" customHeight="1" s="58">
      <c r="A611" s="74" t="n"/>
      <c r="B611" s="74" t="n"/>
      <c r="C611" s="74" t="n"/>
      <c r="D611" s="74" t="n"/>
      <c r="E611" s="74" t="n"/>
      <c r="F611" s="74" t="n"/>
    </row>
    <row r="612" ht="12.75" customHeight="1" s="58">
      <c r="A612" s="74" t="n"/>
      <c r="B612" s="74" t="n"/>
      <c r="C612" s="74" t="n"/>
      <c r="D612" s="74" t="n"/>
      <c r="E612" s="74" t="n"/>
      <c r="F612" s="74" t="n"/>
    </row>
    <row r="613" ht="12.75" customHeight="1" s="58">
      <c r="A613" s="74" t="n"/>
      <c r="B613" s="74" t="n"/>
      <c r="C613" s="74" t="n"/>
      <c r="D613" s="74" t="n"/>
      <c r="E613" s="74" t="n"/>
      <c r="F613" s="74" t="n"/>
    </row>
    <row r="614" ht="12.75" customHeight="1" s="58">
      <c r="A614" s="74" t="n"/>
      <c r="B614" s="74" t="n"/>
      <c r="C614" s="74" t="n"/>
      <c r="D614" s="74" t="n"/>
      <c r="E614" s="74" t="n"/>
      <c r="F614" s="74" t="n"/>
    </row>
    <row r="615" ht="12.75" customHeight="1" s="58">
      <c r="A615" s="74" t="n"/>
      <c r="B615" s="74" t="n"/>
      <c r="C615" s="74" t="n"/>
      <c r="D615" s="74" t="n"/>
      <c r="E615" s="74" t="n"/>
      <c r="F615" s="74" t="n"/>
    </row>
    <row r="616" ht="12.75" customHeight="1" s="58">
      <c r="A616" s="74" t="n"/>
      <c r="B616" s="74" t="n"/>
      <c r="C616" s="74" t="n"/>
      <c r="D616" s="74" t="n"/>
      <c r="E616" s="74" t="n"/>
      <c r="F616" s="74" t="n"/>
    </row>
    <row r="617" ht="12.75" customHeight="1" s="58">
      <c r="A617" s="74" t="n"/>
      <c r="B617" s="74" t="n"/>
      <c r="C617" s="74" t="n"/>
      <c r="D617" s="74" t="n"/>
      <c r="E617" s="74" t="n"/>
      <c r="F617" s="74" t="n"/>
    </row>
    <row r="618" ht="12.75" customHeight="1" s="58">
      <c r="A618" s="74" t="n"/>
      <c r="B618" s="74" t="n"/>
      <c r="C618" s="74" t="n"/>
      <c r="D618" s="74" t="n"/>
      <c r="E618" s="74" t="n"/>
      <c r="F618" s="74" t="n"/>
    </row>
    <row r="619" ht="12.75" customHeight="1" s="58">
      <c r="A619" s="74" t="n"/>
      <c r="B619" s="74" t="n"/>
      <c r="C619" s="74" t="n"/>
      <c r="D619" s="74" t="n"/>
      <c r="E619" s="74" t="n"/>
      <c r="F619" s="74" t="n"/>
    </row>
    <row r="620" ht="12.75" customHeight="1" s="58">
      <c r="A620" s="74" t="n"/>
      <c r="B620" s="74" t="n"/>
      <c r="C620" s="74" t="n"/>
      <c r="D620" s="74" t="n"/>
      <c r="E620" s="74" t="n"/>
      <c r="F620" s="74" t="n"/>
    </row>
    <row r="621" ht="12.75" customHeight="1" s="58">
      <c r="A621" s="74" t="n"/>
      <c r="B621" s="74" t="n"/>
      <c r="C621" s="74" t="n"/>
      <c r="D621" s="74" t="n"/>
      <c r="E621" s="74" t="n"/>
      <c r="F621" s="74" t="n"/>
    </row>
    <row r="622" ht="12.75" customHeight="1" s="58">
      <c r="A622" s="74" t="n"/>
      <c r="B622" s="74" t="n"/>
      <c r="C622" s="74" t="n"/>
      <c r="D622" s="74" t="n"/>
      <c r="E622" s="74" t="n"/>
      <c r="F622" s="74" t="n"/>
    </row>
    <row r="623" ht="12.75" customHeight="1" s="58">
      <c r="A623" s="74" t="n"/>
      <c r="B623" s="74" t="n"/>
      <c r="C623" s="74" t="n"/>
      <c r="D623" s="74" t="n"/>
      <c r="E623" s="74" t="n"/>
      <c r="F623" s="74" t="n"/>
    </row>
    <row r="624" ht="12.75" customHeight="1" s="58">
      <c r="A624" s="74" t="n"/>
      <c r="B624" s="74" t="n"/>
      <c r="C624" s="74" t="n"/>
      <c r="D624" s="74" t="n"/>
      <c r="E624" s="74" t="n"/>
      <c r="F624" s="74" t="n"/>
    </row>
    <row r="625" ht="12.75" customHeight="1" s="58">
      <c r="A625" s="74" t="n"/>
      <c r="B625" s="74" t="n"/>
      <c r="C625" s="74" t="n"/>
      <c r="D625" s="74" t="n"/>
      <c r="E625" s="74" t="n"/>
      <c r="F625" s="74" t="n"/>
    </row>
    <row r="626" ht="12.75" customHeight="1" s="58">
      <c r="A626" s="74" t="n"/>
      <c r="B626" s="74" t="n"/>
      <c r="C626" s="74" t="n"/>
      <c r="D626" s="74" t="n"/>
      <c r="E626" s="74" t="n"/>
      <c r="F626" s="74" t="n"/>
    </row>
    <row r="627" ht="12.75" customHeight="1" s="58">
      <c r="A627" s="74" t="n"/>
      <c r="B627" s="74" t="n"/>
      <c r="C627" s="74" t="n"/>
      <c r="D627" s="74" t="n"/>
      <c r="E627" s="74" t="n"/>
      <c r="F627" s="74" t="n"/>
    </row>
    <row r="628" ht="12.75" customHeight="1" s="58">
      <c r="A628" s="74" t="n"/>
      <c r="B628" s="74" t="n"/>
      <c r="C628" s="74" t="n"/>
      <c r="D628" s="74" t="n"/>
      <c r="E628" s="74" t="n"/>
      <c r="F628" s="74" t="n"/>
    </row>
    <row r="629" ht="12.75" customHeight="1" s="58">
      <c r="A629" s="74" t="n"/>
      <c r="B629" s="74" t="n"/>
      <c r="C629" s="74" t="n"/>
      <c r="D629" s="74" t="n"/>
      <c r="E629" s="74" t="n"/>
      <c r="F629" s="74" t="n"/>
    </row>
    <row r="630" ht="12.75" customHeight="1" s="58">
      <c r="A630" s="74" t="n"/>
      <c r="B630" s="74" t="n"/>
      <c r="C630" s="74" t="n"/>
      <c r="D630" s="74" t="n"/>
      <c r="E630" s="74" t="n"/>
      <c r="F630" s="74" t="n"/>
    </row>
    <row r="631" ht="12.75" customHeight="1" s="58">
      <c r="A631" s="74" t="n"/>
      <c r="B631" s="74" t="n"/>
      <c r="C631" s="74" t="n"/>
      <c r="D631" s="74" t="n"/>
      <c r="E631" s="74" t="n"/>
      <c r="F631" s="74" t="n"/>
    </row>
    <row r="632" ht="12.75" customHeight="1" s="58">
      <c r="A632" s="74" t="n"/>
      <c r="B632" s="74" t="n"/>
      <c r="C632" s="74" t="n"/>
      <c r="D632" s="74" t="n"/>
      <c r="E632" s="74" t="n"/>
      <c r="F632" s="74" t="n"/>
    </row>
    <row r="633" ht="12.75" customHeight="1" s="58">
      <c r="A633" s="74" t="n"/>
      <c r="B633" s="74" t="n"/>
      <c r="C633" s="74" t="n"/>
      <c r="D633" s="74" t="n"/>
      <c r="E633" s="74" t="n"/>
      <c r="F633" s="74" t="n"/>
    </row>
    <row r="634" ht="12.75" customHeight="1" s="58">
      <c r="A634" s="74" t="n"/>
      <c r="B634" s="74" t="n"/>
      <c r="C634" s="74" t="n"/>
      <c r="D634" s="74" t="n"/>
      <c r="E634" s="74" t="n"/>
      <c r="F634" s="74" t="n"/>
    </row>
    <row r="635" ht="12.75" customHeight="1" s="58">
      <c r="A635" s="74" t="n"/>
      <c r="B635" s="74" t="n"/>
      <c r="C635" s="74" t="n"/>
      <c r="D635" s="74" t="n"/>
      <c r="E635" s="74" t="n"/>
      <c r="F635" s="74" t="n"/>
    </row>
    <row r="636" ht="12.75" customHeight="1" s="58">
      <c r="A636" s="74" t="n"/>
      <c r="B636" s="74" t="n"/>
      <c r="C636" s="74" t="n"/>
      <c r="D636" s="74" t="n"/>
      <c r="E636" s="74" t="n"/>
      <c r="F636" s="74" t="n"/>
    </row>
    <row r="637" ht="12.75" customHeight="1" s="58">
      <c r="A637" s="74" t="n"/>
      <c r="B637" s="74" t="n"/>
      <c r="C637" s="74" t="n"/>
      <c r="D637" s="74" t="n"/>
      <c r="E637" s="74" t="n"/>
      <c r="F637" s="74" t="n"/>
    </row>
    <row r="638" ht="12.75" customHeight="1" s="58">
      <c r="A638" s="74" t="n"/>
      <c r="B638" s="74" t="n"/>
      <c r="C638" s="74" t="n"/>
      <c r="D638" s="74" t="n"/>
      <c r="E638" s="74" t="n"/>
      <c r="F638" s="74" t="n"/>
    </row>
    <row r="639" ht="12.75" customHeight="1" s="58">
      <c r="A639" s="74" t="n"/>
      <c r="B639" s="74" t="n"/>
      <c r="C639" s="74" t="n"/>
      <c r="D639" s="74" t="n"/>
      <c r="E639" s="74" t="n"/>
      <c r="F639" s="74" t="n"/>
    </row>
    <row r="640" ht="12.75" customHeight="1" s="58">
      <c r="A640" s="74" t="n"/>
      <c r="B640" s="74" t="n"/>
      <c r="C640" s="74" t="n"/>
      <c r="D640" s="74" t="n"/>
      <c r="E640" s="74" t="n"/>
      <c r="F640" s="74" t="n"/>
    </row>
    <row r="641" ht="12.75" customHeight="1" s="58">
      <c r="A641" s="74" t="n"/>
      <c r="B641" s="74" t="n"/>
      <c r="C641" s="74" t="n"/>
      <c r="D641" s="74" t="n"/>
      <c r="E641" s="74" t="n"/>
      <c r="F641" s="74" t="n"/>
    </row>
    <row r="642" ht="12.75" customHeight="1" s="58">
      <c r="A642" s="74" t="n"/>
      <c r="B642" s="74" t="n"/>
      <c r="C642" s="74" t="n"/>
      <c r="D642" s="74" t="n"/>
      <c r="E642" s="74" t="n"/>
      <c r="F642" s="74" t="n"/>
    </row>
    <row r="643" ht="12.75" customHeight="1" s="58">
      <c r="A643" s="74" t="n"/>
      <c r="B643" s="74" t="n"/>
      <c r="C643" s="74" t="n"/>
      <c r="D643" s="74" t="n"/>
      <c r="E643" s="74" t="n"/>
      <c r="F643" s="74" t="n"/>
    </row>
    <row r="644" ht="12.75" customHeight="1" s="58">
      <c r="A644" s="74" t="n"/>
      <c r="B644" s="74" t="n"/>
      <c r="C644" s="74" t="n"/>
      <c r="D644" s="74" t="n"/>
      <c r="E644" s="74" t="n"/>
      <c r="F644" s="74" t="n"/>
    </row>
    <row r="645" ht="12.75" customHeight="1" s="58">
      <c r="A645" s="74" t="n"/>
      <c r="B645" s="74" t="n"/>
      <c r="C645" s="74" t="n"/>
      <c r="D645" s="74" t="n"/>
      <c r="E645" s="74" t="n"/>
      <c r="F645" s="74" t="n"/>
    </row>
    <row r="646" ht="12.75" customHeight="1" s="58">
      <c r="A646" s="74" t="n"/>
      <c r="B646" s="74" t="n"/>
      <c r="C646" s="74" t="n"/>
      <c r="D646" s="74" t="n"/>
      <c r="E646" s="74" t="n"/>
      <c r="F646" s="74" t="n"/>
    </row>
    <row r="647" ht="12.75" customHeight="1" s="58">
      <c r="A647" s="74" t="n"/>
      <c r="B647" s="74" t="n"/>
      <c r="C647" s="74" t="n"/>
      <c r="D647" s="74" t="n"/>
      <c r="E647" s="74" t="n"/>
      <c r="F647" s="74" t="n"/>
    </row>
    <row r="648" ht="12.75" customHeight="1" s="58">
      <c r="A648" s="74" t="n"/>
      <c r="B648" s="74" t="n"/>
      <c r="C648" s="74" t="n"/>
      <c r="D648" s="74" t="n"/>
      <c r="E648" s="74" t="n"/>
      <c r="F648" s="74" t="n"/>
    </row>
    <row r="649" ht="12.75" customHeight="1" s="58">
      <c r="A649" s="74" t="n"/>
      <c r="B649" s="74" t="n"/>
      <c r="C649" s="74" t="n"/>
      <c r="D649" s="74" t="n"/>
      <c r="E649" s="74" t="n"/>
      <c r="F649" s="74" t="n"/>
    </row>
    <row r="650" ht="12.75" customHeight="1" s="58">
      <c r="A650" s="74" t="n"/>
      <c r="B650" s="74" t="n"/>
      <c r="C650" s="74" t="n"/>
      <c r="D650" s="74" t="n"/>
      <c r="E650" s="74" t="n"/>
      <c r="F650" s="74" t="n"/>
    </row>
    <row r="651" ht="12.75" customHeight="1" s="58">
      <c r="A651" s="74" t="n"/>
      <c r="B651" s="74" t="n"/>
      <c r="C651" s="74" t="n"/>
      <c r="D651" s="74" t="n"/>
      <c r="E651" s="74" t="n"/>
      <c r="F651" s="74" t="n"/>
    </row>
    <row r="652" ht="12.75" customHeight="1" s="58">
      <c r="A652" s="74" t="n"/>
      <c r="B652" s="74" t="n"/>
      <c r="C652" s="74" t="n"/>
      <c r="D652" s="74" t="n"/>
      <c r="E652" s="74" t="n"/>
      <c r="F652" s="74" t="n"/>
    </row>
    <row r="653" ht="12.75" customHeight="1" s="58">
      <c r="A653" s="74" t="n"/>
      <c r="B653" s="74" t="n"/>
      <c r="C653" s="74" t="n"/>
      <c r="D653" s="74" t="n"/>
      <c r="E653" s="74" t="n"/>
      <c r="F653" s="74" t="n"/>
    </row>
    <row r="654" ht="12.75" customHeight="1" s="58">
      <c r="A654" s="74" t="n"/>
      <c r="B654" s="74" t="n"/>
      <c r="C654" s="74" t="n"/>
      <c r="D654" s="74" t="n"/>
      <c r="E654" s="74" t="n"/>
      <c r="F654" s="74" t="n"/>
    </row>
    <row r="655" ht="12.75" customHeight="1" s="58">
      <c r="A655" s="74" t="n"/>
      <c r="B655" s="74" t="n"/>
      <c r="C655" s="74" t="n"/>
      <c r="D655" s="74" t="n"/>
      <c r="E655" s="74" t="n"/>
      <c r="F655" s="74" t="n"/>
    </row>
    <row r="656" ht="12.75" customHeight="1" s="58">
      <c r="A656" s="74" t="n"/>
      <c r="B656" s="74" t="n"/>
      <c r="C656" s="74" t="n"/>
      <c r="D656" s="74" t="n"/>
      <c r="E656" s="74" t="n"/>
      <c r="F656" s="74" t="n"/>
    </row>
    <row r="657" ht="12.75" customHeight="1" s="58">
      <c r="A657" s="74" t="n"/>
      <c r="B657" s="74" t="n"/>
      <c r="C657" s="74" t="n"/>
      <c r="D657" s="74" t="n"/>
      <c r="E657" s="74" t="n"/>
      <c r="F657" s="74" t="n"/>
    </row>
    <row r="658" ht="12.75" customHeight="1" s="58">
      <c r="A658" s="74" t="n"/>
      <c r="B658" s="74" t="n"/>
      <c r="C658" s="74" t="n"/>
      <c r="D658" s="74" t="n"/>
      <c r="E658" s="74" t="n"/>
      <c r="F658" s="74" t="n"/>
    </row>
    <row r="659" ht="12.75" customHeight="1" s="58">
      <c r="A659" s="74" t="n"/>
      <c r="B659" s="74" t="n"/>
      <c r="C659" s="74" t="n"/>
      <c r="D659" s="74" t="n"/>
      <c r="E659" s="74" t="n"/>
      <c r="F659" s="74" t="n"/>
    </row>
    <row r="660" ht="12.75" customHeight="1" s="58">
      <c r="A660" s="74" t="n"/>
      <c r="B660" s="74" t="n"/>
      <c r="C660" s="74" t="n"/>
      <c r="D660" s="74" t="n"/>
      <c r="E660" s="74" t="n"/>
      <c r="F660" s="74" t="n"/>
    </row>
    <row r="661" ht="12.75" customHeight="1" s="58">
      <c r="A661" s="74" t="n"/>
      <c r="B661" s="74" t="n"/>
      <c r="C661" s="74" t="n"/>
      <c r="D661" s="74" t="n"/>
      <c r="E661" s="74" t="n"/>
      <c r="F661" s="74" t="n"/>
    </row>
    <row r="662" ht="12.75" customHeight="1" s="58">
      <c r="A662" s="74" t="n"/>
      <c r="B662" s="74" t="n"/>
      <c r="C662" s="74" t="n"/>
      <c r="D662" s="74" t="n"/>
      <c r="E662" s="74" t="n"/>
      <c r="F662" s="74" t="n"/>
    </row>
    <row r="663" ht="12.75" customHeight="1" s="58">
      <c r="A663" s="74" t="n"/>
      <c r="B663" s="74" t="n"/>
      <c r="C663" s="74" t="n"/>
      <c r="D663" s="74" t="n"/>
      <c r="E663" s="74" t="n"/>
      <c r="F663" s="74" t="n"/>
    </row>
    <row r="664" ht="12.75" customHeight="1" s="58">
      <c r="A664" s="74" t="n"/>
      <c r="B664" s="74" t="n"/>
      <c r="C664" s="74" t="n"/>
      <c r="D664" s="74" t="n"/>
      <c r="E664" s="74" t="n"/>
      <c r="F664" s="74" t="n"/>
    </row>
    <row r="665" ht="12.75" customHeight="1" s="58">
      <c r="A665" s="74" t="n"/>
      <c r="B665" s="74" t="n"/>
      <c r="C665" s="74" t="n"/>
      <c r="D665" s="74" t="n"/>
      <c r="E665" s="74" t="n"/>
      <c r="F665" s="74" t="n"/>
    </row>
    <row r="666" ht="12.75" customHeight="1" s="58">
      <c r="A666" s="74" t="n"/>
      <c r="B666" s="74" t="n"/>
      <c r="C666" s="74" t="n"/>
      <c r="D666" s="74" t="n"/>
      <c r="E666" s="74" t="n"/>
      <c r="F666" s="74" t="n"/>
    </row>
    <row r="667" ht="12.75" customHeight="1" s="58">
      <c r="A667" s="74" t="n"/>
      <c r="B667" s="74" t="n"/>
      <c r="C667" s="74" t="n"/>
      <c r="D667" s="74" t="n"/>
      <c r="E667" s="74" t="n"/>
      <c r="F667" s="74" t="n"/>
    </row>
    <row r="668" ht="12.75" customHeight="1" s="58">
      <c r="A668" s="74" t="n"/>
      <c r="B668" s="74" t="n"/>
      <c r="C668" s="74" t="n"/>
      <c r="D668" s="74" t="n"/>
      <c r="E668" s="74" t="n"/>
      <c r="F668" s="74" t="n"/>
    </row>
    <row r="669" ht="12.75" customHeight="1" s="58">
      <c r="A669" s="74" t="n"/>
      <c r="B669" s="74" t="n"/>
      <c r="C669" s="74" t="n"/>
      <c r="D669" s="74" t="n"/>
      <c r="E669" s="74" t="n"/>
      <c r="F669" s="74" t="n"/>
    </row>
    <row r="670" ht="12.75" customHeight="1" s="58">
      <c r="A670" s="74" t="n"/>
      <c r="B670" s="74" t="n"/>
      <c r="C670" s="74" t="n"/>
      <c r="D670" s="74" t="n"/>
      <c r="E670" s="74" t="n"/>
      <c r="F670" s="74" t="n"/>
    </row>
    <row r="671" ht="12.75" customHeight="1" s="58">
      <c r="A671" s="74" t="n"/>
      <c r="B671" s="74" t="n"/>
      <c r="C671" s="74" t="n"/>
      <c r="D671" s="74" t="n"/>
      <c r="E671" s="74" t="n"/>
      <c r="F671" s="74" t="n"/>
    </row>
    <row r="672" ht="12.75" customHeight="1" s="58">
      <c r="A672" s="74" t="n"/>
      <c r="B672" s="74" t="n"/>
      <c r="C672" s="74" t="n"/>
      <c r="D672" s="74" t="n"/>
      <c r="E672" s="74" t="n"/>
      <c r="F672" s="74" t="n"/>
    </row>
    <row r="673" ht="12.75" customHeight="1" s="58">
      <c r="A673" s="74" t="n"/>
      <c r="B673" s="74" t="n"/>
      <c r="C673" s="74" t="n"/>
      <c r="D673" s="74" t="n"/>
      <c r="E673" s="74" t="n"/>
      <c r="F673" s="74" t="n"/>
    </row>
    <row r="674" ht="12.75" customHeight="1" s="58">
      <c r="A674" s="74" t="n"/>
      <c r="B674" s="74" t="n"/>
      <c r="C674" s="74" t="n"/>
      <c r="D674" s="74" t="n"/>
      <c r="E674" s="74" t="n"/>
      <c r="F674" s="74" t="n"/>
    </row>
    <row r="675" ht="12.75" customHeight="1" s="58">
      <c r="A675" s="74" t="n"/>
      <c r="B675" s="74" t="n"/>
      <c r="C675" s="74" t="n"/>
      <c r="D675" s="74" t="n"/>
      <c r="E675" s="74" t="n"/>
      <c r="F675" s="74" t="n"/>
    </row>
    <row r="676" ht="12.75" customHeight="1" s="58">
      <c r="A676" s="74" t="n"/>
      <c r="B676" s="74" t="n"/>
      <c r="C676" s="74" t="n"/>
      <c r="D676" s="74" t="n"/>
      <c r="E676" s="74" t="n"/>
      <c r="F676" s="74" t="n"/>
    </row>
    <row r="677" ht="12.75" customHeight="1" s="58">
      <c r="A677" s="74" t="n"/>
      <c r="B677" s="74" t="n"/>
      <c r="C677" s="74" t="n"/>
      <c r="D677" s="74" t="n"/>
      <c r="E677" s="74" t="n"/>
      <c r="F677" s="74" t="n"/>
    </row>
    <row r="678" ht="12.75" customHeight="1" s="58">
      <c r="A678" s="74" t="n"/>
      <c r="B678" s="74" t="n"/>
      <c r="C678" s="74" t="n"/>
      <c r="D678" s="74" t="n"/>
      <c r="E678" s="74" t="n"/>
      <c r="F678" s="74" t="n"/>
    </row>
    <row r="679" ht="12.75" customHeight="1" s="58">
      <c r="A679" s="74" t="n"/>
      <c r="B679" s="74" t="n"/>
      <c r="C679" s="74" t="n"/>
      <c r="D679" s="74" t="n"/>
      <c r="E679" s="74" t="n"/>
      <c r="F679" s="74" t="n"/>
    </row>
    <row r="680" ht="12.75" customHeight="1" s="58">
      <c r="A680" s="74" t="n"/>
      <c r="B680" s="74" t="n"/>
      <c r="C680" s="74" t="n"/>
      <c r="D680" s="74" t="n"/>
      <c r="E680" s="74" t="n"/>
      <c r="F680" s="74" t="n"/>
    </row>
    <row r="681" ht="12.75" customHeight="1" s="58">
      <c r="A681" s="74" t="n"/>
      <c r="B681" s="74" t="n"/>
      <c r="C681" s="74" t="n"/>
      <c r="D681" s="74" t="n"/>
      <c r="E681" s="74" t="n"/>
      <c r="F681" s="74" t="n"/>
    </row>
    <row r="682" ht="12.75" customHeight="1" s="58">
      <c r="A682" s="74" t="n"/>
      <c r="B682" s="74" t="n"/>
      <c r="C682" s="74" t="n"/>
      <c r="D682" s="74" t="n"/>
      <c r="E682" s="74" t="n"/>
      <c r="F682" s="74" t="n"/>
    </row>
    <row r="683" ht="12.75" customHeight="1" s="58">
      <c r="A683" s="74" t="n"/>
      <c r="B683" s="74" t="n"/>
      <c r="C683" s="74" t="n"/>
      <c r="D683" s="74" t="n"/>
      <c r="E683" s="74" t="n"/>
      <c r="F683" s="74" t="n"/>
    </row>
    <row r="684" ht="12.75" customHeight="1" s="58">
      <c r="A684" s="74" t="n"/>
      <c r="B684" s="74" t="n"/>
      <c r="C684" s="74" t="n"/>
      <c r="D684" s="74" t="n"/>
      <c r="E684" s="74" t="n"/>
      <c r="F684" s="74" t="n"/>
    </row>
    <row r="685" ht="12.75" customHeight="1" s="58">
      <c r="A685" s="74" t="n"/>
      <c r="B685" s="74" t="n"/>
      <c r="C685" s="74" t="n"/>
      <c r="D685" s="74" t="n"/>
      <c r="E685" s="74" t="n"/>
      <c r="F685" s="74" t="n"/>
    </row>
    <row r="686" ht="12.75" customHeight="1" s="58">
      <c r="A686" s="74" t="n"/>
      <c r="B686" s="74" t="n"/>
      <c r="C686" s="74" t="n"/>
      <c r="D686" s="74" t="n"/>
      <c r="E686" s="74" t="n"/>
      <c r="F686" s="74" t="n"/>
    </row>
    <row r="687" ht="12.75" customHeight="1" s="58">
      <c r="A687" s="74" t="n"/>
      <c r="B687" s="74" t="n"/>
      <c r="C687" s="74" t="n"/>
      <c r="D687" s="74" t="n"/>
      <c r="E687" s="74" t="n"/>
      <c r="F687" s="74" t="n"/>
    </row>
    <row r="688" ht="12.75" customHeight="1" s="58">
      <c r="A688" s="74" t="n"/>
      <c r="B688" s="74" t="n"/>
      <c r="C688" s="74" t="n"/>
      <c r="D688" s="74" t="n"/>
      <c r="E688" s="74" t="n"/>
      <c r="F688" s="74" t="n"/>
    </row>
    <row r="689" ht="12.75" customHeight="1" s="58">
      <c r="A689" s="74" t="n"/>
      <c r="B689" s="74" t="n"/>
      <c r="C689" s="74" t="n"/>
      <c r="D689" s="74" t="n"/>
      <c r="E689" s="74" t="n"/>
      <c r="F689" s="74" t="n"/>
    </row>
    <row r="690" ht="12.75" customHeight="1" s="58">
      <c r="A690" s="74" t="n"/>
      <c r="B690" s="74" t="n"/>
      <c r="C690" s="74" t="n"/>
      <c r="D690" s="74" t="n"/>
      <c r="E690" s="74" t="n"/>
      <c r="F690" s="74" t="n"/>
    </row>
    <row r="691" ht="12.75" customHeight="1" s="58">
      <c r="A691" s="74" t="n"/>
      <c r="B691" s="74" t="n"/>
      <c r="C691" s="74" t="n"/>
      <c r="D691" s="74" t="n"/>
      <c r="E691" s="74" t="n"/>
      <c r="F691" s="74" t="n"/>
    </row>
    <row r="692" ht="12.75" customHeight="1" s="58">
      <c r="A692" s="74" t="n"/>
      <c r="B692" s="74" t="n"/>
      <c r="C692" s="74" t="n"/>
      <c r="D692" s="74" t="n"/>
      <c r="E692" s="74" t="n"/>
      <c r="F692" s="74" t="n"/>
    </row>
    <row r="693" ht="12.75" customHeight="1" s="58">
      <c r="A693" s="74" t="n"/>
      <c r="B693" s="74" t="n"/>
      <c r="C693" s="74" t="n"/>
      <c r="D693" s="74" t="n"/>
      <c r="E693" s="74" t="n"/>
      <c r="F693" s="74" t="n"/>
    </row>
    <row r="694" ht="12.75" customHeight="1" s="58">
      <c r="A694" s="74" t="n"/>
      <c r="B694" s="74" t="n"/>
      <c r="C694" s="74" t="n"/>
      <c r="D694" s="74" t="n"/>
      <c r="E694" s="74" t="n"/>
      <c r="F694" s="74" t="n"/>
    </row>
    <row r="695" ht="12.75" customHeight="1" s="58">
      <c r="A695" s="74" t="n"/>
      <c r="B695" s="74" t="n"/>
      <c r="C695" s="74" t="n"/>
      <c r="D695" s="74" t="n"/>
      <c r="E695" s="74" t="n"/>
      <c r="F695" s="74" t="n"/>
    </row>
    <row r="696" ht="12.75" customHeight="1" s="58">
      <c r="A696" s="74" t="n"/>
      <c r="B696" s="74" t="n"/>
      <c r="C696" s="74" t="n"/>
      <c r="D696" s="74" t="n"/>
      <c r="E696" s="74" t="n"/>
      <c r="F696" s="74" t="n"/>
    </row>
    <row r="697" ht="12.75" customHeight="1" s="58">
      <c r="A697" s="74" t="n"/>
      <c r="B697" s="74" t="n"/>
      <c r="C697" s="74" t="n"/>
      <c r="D697" s="74" t="n"/>
      <c r="E697" s="74" t="n"/>
      <c r="F697" s="74" t="n"/>
    </row>
    <row r="698" ht="12.75" customHeight="1" s="58">
      <c r="A698" s="74" t="n"/>
      <c r="B698" s="74" t="n"/>
      <c r="C698" s="74" t="n"/>
      <c r="D698" s="74" t="n"/>
      <c r="E698" s="74" t="n"/>
      <c r="F698" s="74" t="n"/>
    </row>
    <row r="699" ht="12.75" customHeight="1" s="58">
      <c r="A699" s="74" t="n"/>
      <c r="B699" s="74" t="n"/>
      <c r="C699" s="74" t="n"/>
      <c r="D699" s="74" t="n"/>
      <c r="E699" s="74" t="n"/>
      <c r="F699" s="74" t="n"/>
    </row>
    <row r="700" ht="12.75" customHeight="1" s="58">
      <c r="A700" s="74" t="n"/>
      <c r="B700" s="74" t="n"/>
      <c r="C700" s="74" t="n"/>
      <c r="D700" s="74" t="n"/>
      <c r="E700" s="74" t="n"/>
      <c r="F700" s="74" t="n"/>
    </row>
    <row r="701" ht="12.75" customHeight="1" s="58">
      <c r="A701" s="74" t="n"/>
      <c r="B701" s="74" t="n"/>
      <c r="C701" s="74" t="n"/>
      <c r="D701" s="74" t="n"/>
      <c r="E701" s="74" t="n"/>
      <c r="F701" s="74" t="n"/>
    </row>
    <row r="702" ht="12.75" customHeight="1" s="58">
      <c r="A702" s="74" t="n"/>
      <c r="B702" s="74" t="n"/>
      <c r="C702" s="74" t="n"/>
      <c r="D702" s="74" t="n"/>
      <c r="E702" s="74" t="n"/>
      <c r="F702" s="74" t="n"/>
    </row>
    <row r="703" ht="12.75" customHeight="1" s="58">
      <c r="A703" s="74" t="n"/>
      <c r="B703" s="74" t="n"/>
      <c r="C703" s="74" t="n"/>
      <c r="D703" s="74" t="n"/>
      <c r="E703" s="74" t="n"/>
      <c r="F703" s="74" t="n"/>
    </row>
    <row r="704" ht="12.75" customHeight="1" s="58">
      <c r="A704" s="74" t="n"/>
      <c r="B704" s="74" t="n"/>
      <c r="C704" s="74" t="n"/>
      <c r="D704" s="74" t="n"/>
      <c r="E704" s="74" t="n"/>
      <c r="F704" s="74" t="n"/>
    </row>
    <row r="705" ht="12.75" customHeight="1" s="58">
      <c r="A705" s="74" t="n"/>
      <c r="B705" s="74" t="n"/>
      <c r="C705" s="74" t="n"/>
      <c r="D705" s="74" t="n"/>
      <c r="E705" s="74" t="n"/>
      <c r="F705" s="74" t="n"/>
    </row>
    <row r="706" ht="12.75" customHeight="1" s="58">
      <c r="A706" s="74" t="n"/>
      <c r="B706" s="74" t="n"/>
      <c r="C706" s="74" t="n"/>
      <c r="D706" s="74" t="n"/>
      <c r="E706" s="74" t="n"/>
      <c r="F706" s="74" t="n"/>
    </row>
    <row r="707" ht="12.75" customHeight="1" s="58">
      <c r="A707" s="74" t="n"/>
      <c r="B707" s="74" t="n"/>
      <c r="C707" s="74" t="n"/>
      <c r="D707" s="74" t="n"/>
      <c r="E707" s="74" t="n"/>
      <c r="F707" s="74" t="n"/>
    </row>
    <row r="708" ht="12.75" customHeight="1" s="58">
      <c r="A708" s="74" t="n"/>
      <c r="B708" s="74" t="n"/>
      <c r="C708" s="74" t="n"/>
      <c r="D708" s="74" t="n"/>
      <c r="E708" s="74" t="n"/>
      <c r="F708" s="74" t="n"/>
    </row>
    <row r="709" ht="12.75" customHeight="1" s="58">
      <c r="A709" s="74" t="n"/>
      <c r="B709" s="74" t="n"/>
      <c r="C709" s="74" t="n"/>
      <c r="D709" s="74" t="n"/>
      <c r="E709" s="74" t="n"/>
      <c r="F709" s="74" t="n"/>
    </row>
    <row r="710" ht="12.75" customHeight="1" s="58">
      <c r="A710" s="74" t="n"/>
      <c r="B710" s="74" t="n"/>
      <c r="C710" s="74" t="n"/>
      <c r="D710" s="74" t="n"/>
      <c r="E710" s="74" t="n"/>
      <c r="F710" s="74" t="n"/>
    </row>
    <row r="711" ht="12.75" customHeight="1" s="58">
      <c r="A711" s="74" t="n"/>
      <c r="B711" s="74" t="n"/>
      <c r="C711" s="74" t="n"/>
      <c r="D711" s="74" t="n"/>
      <c r="E711" s="74" t="n"/>
      <c r="F711" s="74" t="n"/>
    </row>
    <row r="712" ht="12.75" customHeight="1" s="58">
      <c r="A712" s="74" t="n"/>
      <c r="B712" s="74" t="n"/>
      <c r="C712" s="74" t="n"/>
      <c r="D712" s="74" t="n"/>
      <c r="E712" s="74" t="n"/>
      <c r="F712" s="74" t="n"/>
    </row>
    <row r="713" ht="12.75" customHeight="1" s="58">
      <c r="A713" s="74" t="n"/>
      <c r="B713" s="74" t="n"/>
      <c r="C713" s="74" t="n"/>
      <c r="D713" s="74" t="n"/>
      <c r="E713" s="74" t="n"/>
      <c r="F713" s="74" t="n"/>
    </row>
    <row r="714" ht="12.75" customHeight="1" s="58">
      <c r="A714" s="74" t="n"/>
      <c r="B714" s="74" t="n"/>
      <c r="C714" s="74" t="n"/>
      <c r="D714" s="74" t="n"/>
      <c r="E714" s="74" t="n"/>
      <c r="F714" s="74" t="n"/>
    </row>
    <row r="715" ht="12.75" customHeight="1" s="58">
      <c r="A715" s="74" t="n"/>
      <c r="B715" s="74" t="n"/>
      <c r="C715" s="74" t="n"/>
      <c r="D715" s="74" t="n"/>
      <c r="E715" s="74" t="n"/>
      <c r="F715" s="74" t="n"/>
    </row>
    <row r="716" ht="12.75" customHeight="1" s="58">
      <c r="A716" s="74" t="n"/>
      <c r="B716" s="74" t="n"/>
      <c r="C716" s="74" t="n"/>
      <c r="D716" s="74" t="n"/>
      <c r="E716" s="74" t="n"/>
      <c r="F716" s="74" t="n"/>
    </row>
    <row r="717" ht="12.75" customHeight="1" s="58">
      <c r="A717" s="74" t="n"/>
      <c r="B717" s="74" t="n"/>
      <c r="C717" s="74" t="n"/>
      <c r="D717" s="74" t="n"/>
      <c r="E717" s="74" t="n"/>
      <c r="F717" s="74" t="n"/>
    </row>
    <row r="718" ht="12.75" customHeight="1" s="58">
      <c r="A718" s="74" t="n"/>
      <c r="B718" s="74" t="n"/>
      <c r="C718" s="74" t="n"/>
      <c r="D718" s="74" t="n"/>
      <c r="E718" s="74" t="n"/>
      <c r="F718" s="74" t="n"/>
    </row>
    <row r="719" ht="12.75" customHeight="1" s="58">
      <c r="A719" s="74" t="n"/>
      <c r="B719" s="74" t="n"/>
      <c r="C719" s="74" t="n"/>
      <c r="D719" s="74" t="n"/>
      <c r="E719" s="74" t="n"/>
      <c r="F719" s="74" t="n"/>
    </row>
    <row r="720" ht="12.75" customHeight="1" s="58">
      <c r="A720" s="74" t="n"/>
      <c r="B720" s="74" t="n"/>
      <c r="C720" s="74" t="n"/>
      <c r="D720" s="74" t="n"/>
      <c r="E720" s="74" t="n"/>
      <c r="F720" s="74" t="n"/>
    </row>
    <row r="721" ht="12.75" customHeight="1" s="58">
      <c r="A721" s="74" t="n"/>
      <c r="B721" s="74" t="n"/>
      <c r="C721" s="74" t="n"/>
      <c r="D721" s="74" t="n"/>
      <c r="E721" s="74" t="n"/>
      <c r="F721" s="74" t="n"/>
    </row>
    <row r="722" ht="12.75" customHeight="1" s="58">
      <c r="A722" s="74" t="n"/>
      <c r="B722" s="74" t="n"/>
      <c r="C722" s="74" t="n"/>
      <c r="D722" s="74" t="n"/>
      <c r="E722" s="74" t="n"/>
      <c r="F722" s="74" t="n"/>
    </row>
    <row r="723" ht="12.75" customHeight="1" s="58">
      <c r="A723" s="74" t="n"/>
      <c r="B723" s="74" t="n"/>
      <c r="C723" s="74" t="n"/>
      <c r="D723" s="74" t="n"/>
      <c r="E723" s="74" t="n"/>
      <c r="F723" s="74" t="n"/>
    </row>
    <row r="724" ht="12.75" customHeight="1" s="58">
      <c r="A724" s="74" t="n"/>
      <c r="B724" s="74" t="n"/>
      <c r="C724" s="74" t="n"/>
      <c r="D724" s="74" t="n"/>
      <c r="E724" s="74" t="n"/>
      <c r="F724" s="74" t="n"/>
    </row>
    <row r="725" ht="12.75" customHeight="1" s="58">
      <c r="A725" s="74" t="n"/>
      <c r="B725" s="74" t="n"/>
      <c r="C725" s="74" t="n"/>
      <c r="D725" s="74" t="n"/>
      <c r="E725" s="74" t="n"/>
      <c r="F725" s="74" t="n"/>
    </row>
    <row r="726" ht="12.75" customHeight="1" s="58">
      <c r="A726" s="74" t="n"/>
      <c r="B726" s="74" t="n"/>
      <c r="C726" s="74" t="n"/>
      <c r="D726" s="74" t="n"/>
      <c r="E726" s="74" t="n"/>
      <c r="F726" s="74" t="n"/>
    </row>
    <row r="727" ht="12.75" customHeight="1" s="58">
      <c r="A727" s="74" t="n"/>
      <c r="B727" s="74" t="n"/>
      <c r="C727" s="74" t="n"/>
      <c r="D727" s="74" t="n"/>
      <c r="E727" s="74" t="n"/>
      <c r="F727" s="74" t="n"/>
    </row>
    <row r="728" ht="12.75" customHeight="1" s="58">
      <c r="A728" s="74" t="n"/>
      <c r="B728" s="74" t="n"/>
      <c r="C728" s="74" t="n"/>
      <c r="D728" s="74" t="n"/>
      <c r="E728" s="74" t="n"/>
      <c r="F728" s="74" t="n"/>
    </row>
    <row r="729" ht="12.75" customHeight="1" s="58">
      <c r="A729" s="74" t="n"/>
      <c r="B729" s="74" t="n"/>
      <c r="C729" s="74" t="n"/>
      <c r="D729" s="74" t="n"/>
      <c r="E729" s="74" t="n"/>
      <c r="F729" s="74" t="n"/>
    </row>
    <row r="730" ht="12.75" customHeight="1" s="58">
      <c r="A730" s="74" t="n"/>
      <c r="B730" s="74" t="n"/>
      <c r="C730" s="74" t="n"/>
      <c r="D730" s="74" t="n"/>
      <c r="E730" s="74" t="n"/>
      <c r="F730" s="74" t="n"/>
    </row>
    <row r="731" ht="12.75" customHeight="1" s="58">
      <c r="A731" s="74" t="n"/>
      <c r="B731" s="74" t="n"/>
      <c r="C731" s="74" t="n"/>
      <c r="D731" s="74" t="n"/>
      <c r="E731" s="74" t="n"/>
      <c r="F731" s="74" t="n"/>
    </row>
    <row r="732" ht="12.75" customHeight="1" s="58">
      <c r="A732" s="74" t="n"/>
      <c r="B732" s="74" t="n"/>
      <c r="C732" s="74" t="n"/>
      <c r="D732" s="74" t="n"/>
      <c r="E732" s="74" t="n"/>
      <c r="F732" s="74" t="n"/>
    </row>
    <row r="733" ht="12.75" customHeight="1" s="58">
      <c r="A733" s="74" t="n"/>
      <c r="B733" s="74" t="n"/>
      <c r="C733" s="74" t="n"/>
      <c r="D733" s="74" t="n"/>
      <c r="E733" s="74" t="n"/>
      <c r="F733" s="74" t="n"/>
    </row>
    <row r="734" ht="12.75" customHeight="1" s="58">
      <c r="A734" s="74" t="n"/>
      <c r="B734" s="74" t="n"/>
      <c r="C734" s="74" t="n"/>
      <c r="D734" s="74" t="n"/>
      <c r="E734" s="74" t="n"/>
      <c r="F734" s="74" t="n"/>
    </row>
    <row r="735" ht="12.75" customHeight="1" s="58">
      <c r="A735" s="74" t="n"/>
      <c r="B735" s="74" t="n"/>
      <c r="C735" s="74" t="n"/>
      <c r="D735" s="74" t="n"/>
      <c r="E735" s="74" t="n"/>
      <c r="F735" s="74" t="n"/>
    </row>
    <row r="736" ht="12.75" customHeight="1" s="58">
      <c r="A736" s="74" t="n"/>
      <c r="B736" s="74" t="n"/>
      <c r="C736" s="74" t="n"/>
      <c r="D736" s="74" t="n"/>
      <c r="E736" s="74" t="n"/>
      <c r="F736" s="74" t="n"/>
    </row>
    <row r="737" ht="12.75" customHeight="1" s="58">
      <c r="A737" s="74" t="n"/>
      <c r="B737" s="74" t="n"/>
      <c r="C737" s="74" t="n"/>
      <c r="D737" s="74" t="n"/>
      <c r="E737" s="74" t="n"/>
      <c r="F737" s="74" t="n"/>
    </row>
    <row r="738" ht="12.75" customHeight="1" s="58">
      <c r="A738" s="74" t="n"/>
      <c r="B738" s="74" t="n"/>
      <c r="C738" s="74" t="n"/>
      <c r="D738" s="74" t="n"/>
      <c r="E738" s="74" t="n"/>
      <c r="F738" s="74" t="n"/>
    </row>
    <row r="739" ht="12.75" customHeight="1" s="58">
      <c r="A739" s="74" t="n"/>
      <c r="B739" s="74" t="n"/>
      <c r="C739" s="74" t="n"/>
      <c r="D739" s="74" t="n"/>
      <c r="E739" s="74" t="n"/>
      <c r="F739" s="74" t="n"/>
    </row>
    <row r="740" ht="12.75" customHeight="1" s="58">
      <c r="A740" s="74" t="n"/>
      <c r="B740" s="74" t="n"/>
      <c r="C740" s="74" t="n"/>
      <c r="D740" s="74" t="n"/>
      <c r="E740" s="74" t="n"/>
      <c r="F740" s="74" t="n"/>
    </row>
    <row r="741" ht="12.75" customHeight="1" s="58">
      <c r="A741" s="74" t="n"/>
      <c r="B741" s="74" t="n"/>
      <c r="C741" s="74" t="n"/>
      <c r="D741" s="74" t="n"/>
      <c r="E741" s="74" t="n"/>
      <c r="F741" s="74" t="n"/>
    </row>
    <row r="742" ht="12.75" customHeight="1" s="58">
      <c r="A742" s="74" t="n"/>
      <c r="B742" s="74" t="n"/>
      <c r="C742" s="74" t="n"/>
      <c r="D742" s="74" t="n"/>
      <c r="E742" s="74" t="n"/>
      <c r="F742" s="74" t="n"/>
    </row>
    <row r="743" ht="12.75" customHeight="1" s="58">
      <c r="A743" s="74" t="n"/>
      <c r="B743" s="74" t="n"/>
      <c r="C743" s="74" t="n"/>
      <c r="D743" s="74" t="n"/>
      <c r="E743" s="74" t="n"/>
      <c r="F743" s="74" t="n"/>
    </row>
    <row r="744" ht="12.75" customHeight="1" s="58">
      <c r="A744" s="74" t="n"/>
      <c r="B744" s="74" t="n"/>
      <c r="C744" s="74" t="n"/>
      <c r="D744" s="74" t="n"/>
      <c r="E744" s="74" t="n"/>
      <c r="F744" s="74" t="n"/>
    </row>
    <row r="745" ht="12.75" customHeight="1" s="58">
      <c r="A745" s="74" t="n"/>
      <c r="B745" s="74" t="n"/>
      <c r="C745" s="74" t="n"/>
      <c r="D745" s="74" t="n"/>
      <c r="E745" s="74" t="n"/>
      <c r="F745" s="74" t="n"/>
    </row>
    <row r="746" ht="12.75" customHeight="1" s="58">
      <c r="A746" s="74" t="n"/>
      <c r="B746" s="74" t="n"/>
      <c r="C746" s="74" t="n"/>
      <c r="D746" s="74" t="n"/>
      <c r="E746" s="74" t="n"/>
      <c r="F746" s="74" t="n"/>
    </row>
    <row r="747" ht="12.75" customHeight="1" s="58">
      <c r="A747" s="74" t="n"/>
      <c r="B747" s="74" t="n"/>
      <c r="C747" s="74" t="n"/>
      <c r="D747" s="74" t="n"/>
      <c r="E747" s="74" t="n"/>
      <c r="F747" s="74" t="n"/>
    </row>
    <row r="748" ht="12.75" customHeight="1" s="58">
      <c r="A748" s="74" t="n"/>
      <c r="B748" s="74" t="n"/>
      <c r="C748" s="74" t="n"/>
      <c r="D748" s="74" t="n"/>
      <c r="E748" s="74" t="n"/>
      <c r="F748" s="74" t="n"/>
    </row>
    <row r="749" ht="12.75" customHeight="1" s="58">
      <c r="A749" s="74" t="n"/>
      <c r="B749" s="74" t="n"/>
      <c r="C749" s="74" t="n"/>
      <c r="D749" s="74" t="n"/>
      <c r="E749" s="74" t="n"/>
      <c r="F749" s="74" t="n"/>
    </row>
    <row r="750" ht="12.75" customHeight="1" s="58">
      <c r="A750" s="74" t="n"/>
      <c r="B750" s="74" t="n"/>
      <c r="C750" s="74" t="n"/>
      <c r="D750" s="74" t="n"/>
      <c r="E750" s="74" t="n"/>
      <c r="F750" s="74" t="n"/>
    </row>
    <row r="751" ht="12.75" customHeight="1" s="58">
      <c r="A751" s="74" t="n"/>
      <c r="B751" s="74" t="n"/>
      <c r="C751" s="74" t="n"/>
      <c r="D751" s="74" t="n"/>
      <c r="E751" s="74" t="n"/>
      <c r="F751" s="74" t="n"/>
    </row>
    <row r="752" ht="12.75" customHeight="1" s="58">
      <c r="A752" s="74" t="n"/>
      <c r="B752" s="74" t="n"/>
      <c r="C752" s="74" t="n"/>
      <c r="D752" s="74" t="n"/>
      <c r="E752" s="74" t="n"/>
      <c r="F752" s="74" t="n"/>
    </row>
    <row r="753" ht="12.75" customHeight="1" s="58">
      <c r="A753" s="74" t="n"/>
      <c r="B753" s="74" t="n"/>
      <c r="C753" s="74" t="n"/>
      <c r="D753" s="74" t="n"/>
      <c r="E753" s="74" t="n"/>
      <c r="F753" s="74" t="n"/>
    </row>
    <row r="754" ht="12.75" customHeight="1" s="58">
      <c r="A754" s="74" t="n"/>
      <c r="B754" s="74" t="n"/>
      <c r="C754" s="74" t="n"/>
      <c r="D754" s="74" t="n"/>
      <c r="E754" s="74" t="n"/>
      <c r="F754" s="74" t="n"/>
    </row>
    <row r="755" ht="12.75" customHeight="1" s="58">
      <c r="A755" s="74" t="n"/>
      <c r="B755" s="74" t="n"/>
      <c r="C755" s="74" t="n"/>
      <c r="D755" s="74" t="n"/>
      <c r="E755" s="74" t="n"/>
      <c r="F755" s="74" t="n"/>
    </row>
    <row r="756" ht="12.75" customHeight="1" s="58">
      <c r="A756" s="74" t="n"/>
      <c r="B756" s="74" t="n"/>
      <c r="C756" s="74" t="n"/>
      <c r="D756" s="74" t="n"/>
      <c r="E756" s="74" t="n"/>
      <c r="F756" s="74" t="n"/>
    </row>
    <row r="757" ht="12.75" customHeight="1" s="58">
      <c r="A757" s="74" t="n"/>
      <c r="B757" s="74" t="n"/>
      <c r="C757" s="74" t="n"/>
      <c r="D757" s="74" t="n"/>
      <c r="E757" s="74" t="n"/>
      <c r="F757" s="74" t="n"/>
    </row>
    <row r="758" ht="12.75" customHeight="1" s="58">
      <c r="A758" s="74" t="n"/>
      <c r="B758" s="74" t="n"/>
      <c r="C758" s="74" t="n"/>
      <c r="D758" s="74" t="n"/>
      <c r="E758" s="74" t="n"/>
      <c r="F758" s="74" t="n"/>
    </row>
    <row r="759" ht="12.75" customHeight="1" s="58">
      <c r="A759" s="74" t="n"/>
      <c r="B759" s="74" t="n"/>
      <c r="C759" s="74" t="n"/>
      <c r="D759" s="74" t="n"/>
      <c r="E759" s="74" t="n"/>
      <c r="F759" s="74" t="n"/>
    </row>
    <row r="760" ht="12.75" customHeight="1" s="58">
      <c r="A760" s="74" t="n"/>
      <c r="B760" s="74" t="n"/>
      <c r="C760" s="74" t="n"/>
      <c r="D760" s="74" t="n"/>
      <c r="E760" s="74" t="n"/>
      <c r="F760" s="74" t="n"/>
    </row>
    <row r="761" ht="12.75" customHeight="1" s="58">
      <c r="A761" s="74" t="n"/>
      <c r="B761" s="74" t="n"/>
      <c r="C761" s="74" t="n"/>
      <c r="D761" s="74" t="n"/>
      <c r="E761" s="74" t="n"/>
      <c r="F761" s="74" t="n"/>
    </row>
    <row r="762" ht="12.75" customHeight="1" s="58">
      <c r="A762" s="74" t="n"/>
      <c r="B762" s="74" t="n"/>
      <c r="C762" s="74" t="n"/>
      <c r="D762" s="74" t="n"/>
      <c r="E762" s="74" t="n"/>
      <c r="F762" s="74" t="n"/>
    </row>
    <row r="763" ht="12.75" customHeight="1" s="58">
      <c r="A763" s="74" t="n"/>
      <c r="B763" s="74" t="n"/>
      <c r="C763" s="74" t="n"/>
      <c r="D763" s="74" t="n"/>
      <c r="E763" s="74" t="n"/>
      <c r="F763" s="74" t="n"/>
    </row>
    <row r="764" ht="12.75" customHeight="1" s="58">
      <c r="A764" s="74" t="n"/>
      <c r="B764" s="74" t="n"/>
      <c r="C764" s="74" t="n"/>
      <c r="D764" s="74" t="n"/>
      <c r="E764" s="74" t="n"/>
      <c r="F764" s="74" t="n"/>
    </row>
    <row r="765" ht="12.75" customHeight="1" s="58">
      <c r="A765" s="74" t="n"/>
      <c r="B765" s="74" t="n"/>
      <c r="C765" s="74" t="n"/>
      <c r="D765" s="74" t="n"/>
      <c r="E765" s="74" t="n"/>
      <c r="F765" s="74" t="n"/>
    </row>
    <row r="766" ht="12.75" customHeight="1" s="58">
      <c r="A766" s="74" t="n"/>
      <c r="B766" s="74" t="n"/>
      <c r="C766" s="74" t="n"/>
      <c r="D766" s="74" t="n"/>
      <c r="E766" s="74" t="n"/>
      <c r="F766" s="74" t="n"/>
    </row>
    <row r="767" ht="12.75" customHeight="1" s="58">
      <c r="A767" s="74" t="n"/>
      <c r="B767" s="74" t="n"/>
      <c r="C767" s="74" t="n"/>
      <c r="D767" s="74" t="n"/>
      <c r="E767" s="74" t="n"/>
      <c r="F767" s="74" t="n"/>
    </row>
    <row r="768" ht="12.75" customHeight="1" s="58">
      <c r="A768" s="74" t="n"/>
      <c r="B768" s="74" t="n"/>
      <c r="C768" s="74" t="n"/>
      <c r="D768" s="74" t="n"/>
      <c r="E768" s="74" t="n"/>
      <c r="F768" s="74" t="n"/>
    </row>
    <row r="769" ht="12.75" customHeight="1" s="58">
      <c r="A769" s="74" t="n"/>
      <c r="B769" s="74" t="n"/>
      <c r="C769" s="74" t="n"/>
      <c r="D769" s="74" t="n"/>
      <c r="E769" s="74" t="n"/>
      <c r="F769" s="74" t="n"/>
    </row>
    <row r="770" ht="12.75" customHeight="1" s="58">
      <c r="A770" s="74" t="n"/>
      <c r="B770" s="74" t="n"/>
      <c r="C770" s="74" t="n"/>
      <c r="D770" s="74" t="n"/>
      <c r="E770" s="74" t="n"/>
      <c r="F770" s="74" t="n"/>
    </row>
    <row r="771" ht="12.75" customHeight="1" s="58">
      <c r="A771" s="74" t="n"/>
      <c r="B771" s="74" t="n"/>
      <c r="C771" s="74" t="n"/>
      <c r="D771" s="74" t="n"/>
      <c r="E771" s="74" t="n"/>
      <c r="F771" s="74" t="n"/>
    </row>
    <row r="772" ht="12.75" customHeight="1" s="58">
      <c r="A772" s="74" t="n"/>
      <c r="B772" s="74" t="n"/>
      <c r="C772" s="74" t="n"/>
      <c r="D772" s="74" t="n"/>
      <c r="E772" s="74" t="n"/>
      <c r="F772" s="74" t="n"/>
    </row>
    <row r="773" ht="12.75" customHeight="1" s="58">
      <c r="A773" s="74" t="n"/>
      <c r="B773" s="74" t="n"/>
      <c r="C773" s="74" t="n"/>
      <c r="D773" s="74" t="n"/>
      <c r="E773" s="74" t="n"/>
      <c r="F773" s="74" t="n"/>
    </row>
    <row r="774" ht="12.75" customHeight="1" s="58">
      <c r="A774" s="74" t="n"/>
      <c r="B774" s="74" t="n"/>
      <c r="C774" s="74" t="n"/>
      <c r="D774" s="74" t="n"/>
      <c r="E774" s="74" t="n"/>
      <c r="F774" s="74" t="n"/>
    </row>
    <row r="775" ht="12.75" customHeight="1" s="58">
      <c r="A775" s="74" t="n"/>
      <c r="B775" s="74" t="n"/>
      <c r="C775" s="74" t="n"/>
      <c r="D775" s="74" t="n"/>
      <c r="E775" s="74" t="n"/>
      <c r="F775" s="74" t="n"/>
    </row>
    <row r="776" ht="12.75" customHeight="1" s="58">
      <c r="A776" s="74" t="n"/>
      <c r="B776" s="74" t="n"/>
      <c r="C776" s="74" t="n"/>
      <c r="D776" s="74" t="n"/>
      <c r="E776" s="74" t="n"/>
      <c r="F776" s="74" t="n"/>
    </row>
    <row r="777" ht="12.75" customHeight="1" s="58">
      <c r="A777" s="74" t="n"/>
      <c r="B777" s="74" t="n"/>
      <c r="C777" s="74" t="n"/>
      <c r="D777" s="74" t="n"/>
      <c r="E777" s="74" t="n"/>
      <c r="F777" s="74" t="n"/>
    </row>
    <row r="778" ht="12.75" customHeight="1" s="58">
      <c r="A778" s="74" t="n"/>
      <c r="B778" s="74" t="n"/>
      <c r="C778" s="74" t="n"/>
      <c r="D778" s="74" t="n"/>
      <c r="E778" s="74" t="n"/>
      <c r="F778" s="74" t="n"/>
    </row>
    <row r="779" ht="12.75" customHeight="1" s="58">
      <c r="A779" s="74" t="n"/>
      <c r="B779" s="74" t="n"/>
      <c r="C779" s="74" t="n"/>
      <c r="D779" s="74" t="n"/>
      <c r="E779" s="74" t="n"/>
      <c r="F779" s="74" t="n"/>
    </row>
    <row r="780" ht="12.75" customHeight="1" s="58">
      <c r="A780" s="74" t="n"/>
      <c r="B780" s="74" t="n"/>
      <c r="C780" s="74" t="n"/>
      <c r="D780" s="74" t="n"/>
      <c r="E780" s="74" t="n"/>
      <c r="F780" s="74" t="n"/>
    </row>
    <row r="781" ht="12.75" customHeight="1" s="58">
      <c r="A781" s="74" t="n"/>
      <c r="B781" s="74" t="n"/>
      <c r="C781" s="74" t="n"/>
      <c r="D781" s="74" t="n"/>
      <c r="E781" s="74" t="n"/>
      <c r="F781" s="74" t="n"/>
    </row>
    <row r="782" ht="12.75" customHeight="1" s="58">
      <c r="A782" s="74" t="n"/>
      <c r="B782" s="74" t="n"/>
      <c r="C782" s="74" t="n"/>
      <c r="D782" s="74" t="n"/>
      <c r="E782" s="74" t="n"/>
      <c r="F782" s="74" t="n"/>
    </row>
    <row r="783" ht="12.75" customHeight="1" s="58">
      <c r="A783" s="74" t="n"/>
      <c r="B783" s="74" t="n"/>
      <c r="C783" s="74" t="n"/>
      <c r="D783" s="74" t="n"/>
      <c r="E783" s="74" t="n"/>
      <c r="F783" s="74" t="n"/>
    </row>
    <row r="784" ht="12.75" customHeight="1" s="58">
      <c r="A784" s="74" t="n"/>
      <c r="B784" s="74" t="n"/>
      <c r="C784" s="74" t="n"/>
      <c r="D784" s="74" t="n"/>
      <c r="E784" s="74" t="n"/>
      <c r="F784" s="74" t="n"/>
    </row>
    <row r="785" ht="12.75" customHeight="1" s="58">
      <c r="A785" s="74" t="n"/>
      <c r="B785" s="74" t="n"/>
      <c r="C785" s="74" t="n"/>
      <c r="D785" s="74" t="n"/>
      <c r="E785" s="74" t="n"/>
      <c r="F785" s="74" t="n"/>
    </row>
    <row r="786" ht="12.75" customHeight="1" s="58">
      <c r="A786" s="74" t="n"/>
      <c r="B786" s="74" t="n"/>
      <c r="C786" s="74" t="n"/>
      <c r="D786" s="74" t="n"/>
      <c r="E786" s="74" t="n"/>
      <c r="F786" s="74" t="n"/>
    </row>
    <row r="787" ht="12.75" customHeight="1" s="58">
      <c r="A787" s="74" t="n"/>
      <c r="B787" s="74" t="n"/>
      <c r="C787" s="74" t="n"/>
      <c r="D787" s="74" t="n"/>
      <c r="E787" s="74" t="n"/>
      <c r="F787" s="74" t="n"/>
    </row>
    <row r="788" ht="12.75" customHeight="1" s="58">
      <c r="A788" s="74" t="n"/>
      <c r="B788" s="74" t="n"/>
      <c r="C788" s="74" t="n"/>
      <c r="D788" s="74" t="n"/>
      <c r="E788" s="74" t="n"/>
      <c r="F788" s="74" t="n"/>
    </row>
    <row r="789" ht="12.75" customHeight="1" s="58">
      <c r="A789" s="74" t="n"/>
      <c r="B789" s="74" t="n"/>
      <c r="C789" s="74" t="n"/>
      <c r="D789" s="74" t="n"/>
      <c r="E789" s="74" t="n"/>
      <c r="F789" s="74" t="n"/>
    </row>
    <row r="790" ht="12.75" customHeight="1" s="58">
      <c r="A790" s="74" t="n"/>
      <c r="B790" s="74" t="n"/>
      <c r="C790" s="74" t="n"/>
      <c r="D790" s="74" t="n"/>
      <c r="E790" s="74" t="n"/>
      <c r="F790" s="74" t="n"/>
    </row>
    <row r="791" ht="12.75" customHeight="1" s="58">
      <c r="A791" s="74" t="n"/>
      <c r="B791" s="74" t="n"/>
      <c r="C791" s="74" t="n"/>
      <c r="D791" s="74" t="n"/>
      <c r="E791" s="74" t="n"/>
      <c r="F791" s="74" t="n"/>
    </row>
    <row r="792" ht="12.75" customHeight="1" s="58">
      <c r="A792" s="74" t="n"/>
      <c r="B792" s="74" t="n"/>
      <c r="C792" s="74" t="n"/>
      <c r="D792" s="74" t="n"/>
      <c r="E792" s="74" t="n"/>
      <c r="F792" s="74" t="n"/>
    </row>
    <row r="793" ht="12.75" customHeight="1" s="58">
      <c r="A793" s="74" t="n"/>
      <c r="B793" s="74" t="n"/>
      <c r="C793" s="74" t="n"/>
      <c r="D793" s="74" t="n"/>
      <c r="E793" s="74" t="n"/>
      <c r="F793" s="74" t="n"/>
    </row>
    <row r="794" ht="12.75" customHeight="1" s="58">
      <c r="A794" s="74" t="n"/>
      <c r="B794" s="74" t="n"/>
      <c r="C794" s="74" t="n"/>
      <c r="D794" s="74" t="n"/>
      <c r="E794" s="74" t="n"/>
      <c r="F794" s="74" t="n"/>
    </row>
    <row r="795" ht="12.75" customHeight="1" s="58">
      <c r="A795" s="74" t="n"/>
      <c r="B795" s="74" t="n"/>
      <c r="C795" s="74" t="n"/>
      <c r="D795" s="74" t="n"/>
      <c r="E795" s="74" t="n"/>
      <c r="F795" s="74" t="n"/>
    </row>
    <row r="796" ht="12.75" customHeight="1" s="58">
      <c r="A796" s="74" t="n"/>
      <c r="B796" s="74" t="n"/>
      <c r="C796" s="74" t="n"/>
      <c r="D796" s="74" t="n"/>
      <c r="E796" s="74" t="n"/>
      <c r="F796" s="74" t="n"/>
    </row>
    <row r="797" ht="12.75" customHeight="1" s="58">
      <c r="A797" s="74" t="n"/>
      <c r="B797" s="74" t="n"/>
      <c r="C797" s="74" t="n"/>
      <c r="D797" s="74" t="n"/>
      <c r="E797" s="74" t="n"/>
      <c r="F797" s="74" t="n"/>
    </row>
    <row r="798" ht="12.75" customHeight="1" s="58">
      <c r="A798" s="74" t="n"/>
      <c r="B798" s="74" t="n"/>
      <c r="C798" s="74" t="n"/>
      <c r="D798" s="74" t="n"/>
      <c r="E798" s="74" t="n"/>
      <c r="F798" s="74" t="n"/>
    </row>
    <row r="799" ht="12.75" customHeight="1" s="58">
      <c r="A799" s="74" t="n"/>
      <c r="B799" s="74" t="n"/>
      <c r="C799" s="74" t="n"/>
      <c r="D799" s="74" t="n"/>
      <c r="E799" s="74" t="n"/>
      <c r="F799" s="74" t="n"/>
    </row>
    <row r="800" ht="12.75" customHeight="1" s="58">
      <c r="A800" s="74" t="n"/>
      <c r="B800" s="74" t="n"/>
      <c r="C800" s="74" t="n"/>
      <c r="D800" s="74" t="n"/>
      <c r="E800" s="74" t="n"/>
      <c r="F800" s="74" t="n"/>
    </row>
    <row r="801" ht="12.75" customHeight="1" s="58">
      <c r="A801" s="74" t="n"/>
      <c r="B801" s="74" t="n"/>
      <c r="C801" s="74" t="n"/>
      <c r="D801" s="74" t="n"/>
      <c r="E801" s="74" t="n"/>
      <c r="F801" s="74" t="n"/>
    </row>
    <row r="802" ht="12.75" customHeight="1" s="58">
      <c r="A802" s="74" t="n"/>
      <c r="B802" s="74" t="n"/>
      <c r="C802" s="74" t="n"/>
      <c r="D802" s="74" t="n"/>
      <c r="E802" s="74" t="n"/>
      <c r="F802" s="74" t="n"/>
    </row>
    <row r="803" ht="12.75" customHeight="1" s="58">
      <c r="A803" s="74" t="n"/>
      <c r="B803" s="74" t="n"/>
      <c r="C803" s="74" t="n"/>
      <c r="D803" s="74" t="n"/>
      <c r="E803" s="74" t="n"/>
      <c r="F803" s="74" t="n"/>
    </row>
    <row r="804" ht="12.75" customHeight="1" s="58">
      <c r="A804" s="74" t="n"/>
      <c r="B804" s="74" t="n"/>
      <c r="C804" s="74" t="n"/>
      <c r="D804" s="74" t="n"/>
      <c r="E804" s="74" t="n"/>
      <c r="F804" s="74" t="n"/>
    </row>
    <row r="805" ht="12.75" customHeight="1" s="58">
      <c r="A805" s="74" t="n"/>
      <c r="B805" s="74" t="n"/>
      <c r="C805" s="74" t="n"/>
      <c r="D805" s="74" t="n"/>
      <c r="E805" s="74" t="n"/>
      <c r="F805" s="74" t="n"/>
    </row>
    <row r="806" ht="12.75" customHeight="1" s="58">
      <c r="A806" s="74" t="n"/>
      <c r="B806" s="74" t="n"/>
      <c r="C806" s="74" t="n"/>
      <c r="D806" s="74" t="n"/>
      <c r="E806" s="74" t="n"/>
      <c r="F806" s="74" t="n"/>
    </row>
    <row r="807" ht="12.75" customHeight="1" s="58">
      <c r="A807" s="74" t="n"/>
      <c r="B807" s="74" t="n"/>
      <c r="C807" s="74" t="n"/>
      <c r="D807" s="74" t="n"/>
      <c r="E807" s="74" t="n"/>
      <c r="F807" s="74" t="n"/>
    </row>
    <row r="808" ht="12.75" customHeight="1" s="58">
      <c r="A808" s="74" t="n"/>
      <c r="B808" s="74" t="n"/>
      <c r="C808" s="74" t="n"/>
      <c r="D808" s="74" t="n"/>
      <c r="E808" s="74" t="n"/>
      <c r="F808" s="74" t="n"/>
    </row>
    <row r="809" ht="12.75" customHeight="1" s="58">
      <c r="A809" s="74" t="n"/>
      <c r="B809" s="74" t="n"/>
      <c r="C809" s="74" t="n"/>
      <c r="D809" s="74" t="n"/>
      <c r="E809" s="74" t="n"/>
      <c r="F809" s="74" t="n"/>
    </row>
    <row r="810" ht="12.75" customHeight="1" s="58">
      <c r="A810" s="74" t="n"/>
      <c r="B810" s="74" t="n"/>
      <c r="C810" s="74" t="n"/>
      <c r="D810" s="74" t="n"/>
      <c r="E810" s="74" t="n"/>
      <c r="F810" s="74" t="n"/>
    </row>
    <row r="811" ht="12.75" customHeight="1" s="58">
      <c r="A811" s="74" t="n"/>
      <c r="B811" s="74" t="n"/>
      <c r="C811" s="74" t="n"/>
      <c r="D811" s="74" t="n"/>
      <c r="E811" s="74" t="n"/>
      <c r="F811" s="74" t="n"/>
    </row>
    <row r="812" ht="12.75" customHeight="1" s="58">
      <c r="A812" s="74" t="n"/>
      <c r="B812" s="74" t="n"/>
      <c r="C812" s="74" t="n"/>
      <c r="D812" s="74" t="n"/>
      <c r="E812" s="74" t="n"/>
      <c r="F812" s="74" t="n"/>
    </row>
    <row r="813" ht="12.75" customHeight="1" s="58">
      <c r="A813" s="74" t="n"/>
      <c r="B813" s="74" t="n"/>
      <c r="C813" s="74" t="n"/>
      <c r="D813" s="74" t="n"/>
      <c r="E813" s="74" t="n"/>
      <c r="F813" s="74" t="n"/>
    </row>
    <row r="814" ht="12.75" customHeight="1" s="58">
      <c r="A814" s="74" t="n"/>
      <c r="B814" s="74" t="n"/>
      <c r="C814" s="74" t="n"/>
      <c r="D814" s="74" t="n"/>
      <c r="E814" s="74" t="n"/>
      <c r="F814" s="74" t="n"/>
    </row>
    <row r="815" ht="12.75" customHeight="1" s="58">
      <c r="A815" s="74" t="n"/>
      <c r="B815" s="74" t="n"/>
      <c r="C815" s="74" t="n"/>
      <c r="D815" s="74" t="n"/>
      <c r="E815" s="74" t="n"/>
      <c r="F815" s="74" t="n"/>
    </row>
    <row r="816" ht="12.75" customHeight="1" s="58">
      <c r="A816" s="74" t="n"/>
      <c r="B816" s="74" t="n"/>
      <c r="C816" s="74" t="n"/>
      <c r="D816" s="74" t="n"/>
      <c r="E816" s="74" t="n"/>
      <c r="F816" s="74" t="n"/>
    </row>
    <row r="817" ht="12.75" customHeight="1" s="58">
      <c r="A817" s="74" t="n"/>
      <c r="B817" s="74" t="n"/>
      <c r="C817" s="74" t="n"/>
      <c r="D817" s="74" t="n"/>
      <c r="E817" s="74" t="n"/>
      <c r="F817" s="74" t="n"/>
    </row>
    <row r="818" ht="12.75" customHeight="1" s="58">
      <c r="A818" s="74" t="n"/>
      <c r="B818" s="74" t="n"/>
      <c r="C818" s="74" t="n"/>
      <c r="D818" s="74" t="n"/>
      <c r="E818" s="74" t="n"/>
      <c r="F818" s="74" t="n"/>
    </row>
    <row r="819" ht="12.75" customHeight="1" s="58">
      <c r="A819" s="74" t="n"/>
      <c r="B819" s="74" t="n"/>
      <c r="C819" s="74" t="n"/>
      <c r="D819" s="74" t="n"/>
      <c r="E819" s="74" t="n"/>
      <c r="F819" s="74" t="n"/>
    </row>
    <row r="820" ht="12.75" customHeight="1" s="58">
      <c r="A820" s="74" t="n"/>
      <c r="B820" s="74" t="n"/>
      <c r="C820" s="74" t="n"/>
      <c r="D820" s="74" t="n"/>
      <c r="E820" s="74" t="n"/>
      <c r="F820" s="74" t="n"/>
    </row>
    <row r="821" ht="12.75" customHeight="1" s="58">
      <c r="A821" s="74" t="n"/>
      <c r="B821" s="74" t="n"/>
      <c r="C821" s="74" t="n"/>
      <c r="D821" s="74" t="n"/>
      <c r="E821" s="74" t="n"/>
      <c r="F821" s="74" t="n"/>
    </row>
    <row r="822" ht="12.75" customHeight="1" s="58">
      <c r="A822" s="74" t="n"/>
      <c r="B822" s="74" t="n"/>
      <c r="C822" s="74" t="n"/>
      <c r="D822" s="74" t="n"/>
      <c r="E822" s="74" t="n"/>
      <c r="F822" s="74" t="n"/>
    </row>
    <row r="823" ht="12.75" customHeight="1" s="58">
      <c r="A823" s="74" t="n"/>
      <c r="B823" s="74" t="n"/>
      <c r="C823" s="74" t="n"/>
      <c r="D823" s="74" t="n"/>
      <c r="E823" s="74" t="n"/>
      <c r="F823" s="74" t="n"/>
    </row>
    <row r="824" ht="12.75" customHeight="1" s="58">
      <c r="A824" s="74" t="n"/>
      <c r="B824" s="74" t="n"/>
      <c r="C824" s="74" t="n"/>
      <c r="D824" s="74" t="n"/>
      <c r="E824" s="74" t="n"/>
      <c r="F824" s="74" t="n"/>
    </row>
    <row r="825" ht="12.75" customHeight="1" s="58">
      <c r="A825" s="74" t="n"/>
      <c r="B825" s="74" t="n"/>
      <c r="C825" s="74" t="n"/>
      <c r="D825" s="74" t="n"/>
      <c r="E825" s="74" t="n"/>
      <c r="F825" s="74" t="n"/>
    </row>
    <row r="826" ht="12.75" customHeight="1" s="58">
      <c r="A826" s="74" t="n"/>
      <c r="B826" s="74" t="n"/>
      <c r="C826" s="74" t="n"/>
      <c r="D826" s="74" t="n"/>
      <c r="E826" s="74" t="n"/>
      <c r="F826" s="74" t="n"/>
    </row>
    <row r="827" ht="12.75" customHeight="1" s="58">
      <c r="A827" s="74" t="n"/>
      <c r="B827" s="74" t="n"/>
      <c r="C827" s="74" t="n"/>
      <c r="D827" s="74" t="n"/>
      <c r="E827" s="74" t="n"/>
      <c r="F827" s="74" t="n"/>
    </row>
    <row r="828" ht="12.75" customHeight="1" s="58">
      <c r="A828" s="74" t="n"/>
      <c r="B828" s="74" t="n"/>
      <c r="C828" s="74" t="n"/>
      <c r="D828" s="74" t="n"/>
      <c r="E828" s="74" t="n"/>
      <c r="F828" s="74" t="n"/>
    </row>
    <row r="829" ht="12.75" customHeight="1" s="58">
      <c r="A829" s="74" t="n"/>
      <c r="B829" s="74" t="n"/>
      <c r="C829" s="74" t="n"/>
      <c r="D829" s="74" t="n"/>
      <c r="E829" s="74" t="n"/>
      <c r="F829" s="74" t="n"/>
    </row>
    <row r="830" ht="12.75" customHeight="1" s="58">
      <c r="A830" s="74" t="n"/>
      <c r="B830" s="74" t="n"/>
      <c r="C830" s="74" t="n"/>
      <c r="D830" s="74" t="n"/>
      <c r="E830" s="74" t="n"/>
      <c r="F830" s="74" t="n"/>
    </row>
    <row r="831" ht="12.75" customHeight="1" s="58">
      <c r="A831" s="74" t="n"/>
      <c r="B831" s="74" t="n"/>
      <c r="C831" s="74" t="n"/>
      <c r="D831" s="74" t="n"/>
      <c r="E831" s="74" t="n"/>
      <c r="F831" s="74" t="n"/>
    </row>
    <row r="832" ht="12.75" customHeight="1" s="58">
      <c r="A832" s="74" t="n"/>
      <c r="B832" s="74" t="n"/>
      <c r="C832" s="74" t="n"/>
      <c r="D832" s="74" t="n"/>
      <c r="E832" s="74" t="n"/>
      <c r="F832" s="74" t="n"/>
    </row>
    <row r="833" ht="12.75" customHeight="1" s="58">
      <c r="A833" s="74" t="n"/>
      <c r="B833" s="74" t="n"/>
      <c r="C833" s="74" t="n"/>
      <c r="D833" s="74" t="n"/>
      <c r="E833" s="74" t="n"/>
      <c r="F833" s="74" t="n"/>
    </row>
    <row r="834" ht="12.75" customHeight="1" s="58">
      <c r="A834" s="74" t="n"/>
      <c r="B834" s="74" t="n"/>
      <c r="C834" s="74" t="n"/>
      <c r="D834" s="74" t="n"/>
      <c r="E834" s="74" t="n"/>
      <c r="F834" s="74" t="n"/>
    </row>
    <row r="835" ht="12.75" customHeight="1" s="58">
      <c r="A835" s="74" t="n"/>
      <c r="B835" s="74" t="n"/>
      <c r="C835" s="74" t="n"/>
      <c r="D835" s="74" t="n"/>
      <c r="E835" s="74" t="n"/>
      <c r="F835" s="74" t="n"/>
    </row>
    <row r="836" ht="12.75" customHeight="1" s="58">
      <c r="A836" s="74" t="n"/>
      <c r="B836" s="74" t="n"/>
      <c r="C836" s="74" t="n"/>
      <c r="D836" s="74" t="n"/>
      <c r="E836" s="74" t="n"/>
      <c r="F836" s="74" t="n"/>
    </row>
    <row r="837" ht="12.75" customHeight="1" s="58">
      <c r="A837" s="74" t="n"/>
      <c r="B837" s="74" t="n"/>
      <c r="C837" s="74" t="n"/>
      <c r="D837" s="74" t="n"/>
      <c r="E837" s="74" t="n"/>
      <c r="F837" s="74" t="n"/>
    </row>
    <row r="838" ht="12.75" customHeight="1" s="58">
      <c r="A838" s="74" t="n"/>
      <c r="B838" s="74" t="n"/>
      <c r="C838" s="74" t="n"/>
      <c r="D838" s="74" t="n"/>
      <c r="E838" s="74" t="n"/>
      <c r="F838" s="74" t="n"/>
    </row>
    <row r="839" ht="12.75" customHeight="1" s="58">
      <c r="A839" s="74" t="n"/>
      <c r="B839" s="74" t="n"/>
      <c r="C839" s="74" t="n"/>
      <c r="D839" s="74" t="n"/>
      <c r="E839" s="74" t="n"/>
      <c r="F839" s="74" t="n"/>
    </row>
    <row r="840" ht="12.75" customHeight="1" s="58">
      <c r="A840" s="74" t="n"/>
      <c r="B840" s="74" t="n"/>
      <c r="C840" s="74" t="n"/>
      <c r="D840" s="74" t="n"/>
      <c r="E840" s="74" t="n"/>
      <c r="F840" s="74" t="n"/>
    </row>
    <row r="841" ht="12.75" customHeight="1" s="58">
      <c r="A841" s="74" t="n"/>
      <c r="B841" s="74" t="n"/>
      <c r="C841" s="74" t="n"/>
      <c r="D841" s="74" t="n"/>
      <c r="E841" s="74" t="n"/>
      <c r="F841" s="74" t="n"/>
    </row>
    <row r="842" ht="12.75" customHeight="1" s="58">
      <c r="A842" s="74" t="n"/>
      <c r="B842" s="74" t="n"/>
      <c r="C842" s="74" t="n"/>
      <c r="D842" s="74" t="n"/>
      <c r="E842" s="74" t="n"/>
      <c r="F842" s="74" t="n"/>
    </row>
    <row r="843" ht="12.75" customHeight="1" s="58">
      <c r="A843" s="74" t="n"/>
      <c r="B843" s="74" t="n"/>
      <c r="C843" s="74" t="n"/>
      <c r="D843" s="74" t="n"/>
      <c r="E843" s="74" t="n"/>
      <c r="F843" s="74" t="n"/>
    </row>
    <row r="844" ht="12.75" customHeight="1" s="58">
      <c r="A844" s="74" t="n"/>
      <c r="B844" s="74" t="n"/>
      <c r="C844" s="74" t="n"/>
      <c r="D844" s="74" t="n"/>
      <c r="E844" s="74" t="n"/>
      <c r="F844" s="74" t="n"/>
    </row>
    <row r="845" ht="12.75" customHeight="1" s="58">
      <c r="A845" s="74" t="n"/>
      <c r="B845" s="74" t="n"/>
      <c r="C845" s="74" t="n"/>
      <c r="D845" s="74" t="n"/>
      <c r="E845" s="74" t="n"/>
      <c r="F845" s="74" t="n"/>
    </row>
    <row r="846" ht="12.75" customHeight="1" s="58">
      <c r="A846" s="74" t="n"/>
      <c r="B846" s="74" t="n"/>
      <c r="C846" s="74" t="n"/>
      <c r="D846" s="74" t="n"/>
      <c r="E846" s="74" t="n"/>
      <c r="F846" s="74" t="n"/>
    </row>
    <row r="847" ht="12.75" customHeight="1" s="58">
      <c r="A847" s="74" t="n"/>
      <c r="B847" s="74" t="n"/>
      <c r="C847" s="74" t="n"/>
      <c r="D847" s="74" t="n"/>
      <c r="E847" s="74" t="n"/>
      <c r="F847" s="74" t="n"/>
    </row>
    <row r="848" ht="12.75" customHeight="1" s="58">
      <c r="A848" s="74" t="n"/>
      <c r="B848" s="74" t="n"/>
      <c r="C848" s="74" t="n"/>
      <c r="D848" s="74" t="n"/>
      <c r="E848" s="74" t="n"/>
      <c r="F848" s="74" t="n"/>
    </row>
    <row r="849" ht="12.75" customHeight="1" s="58">
      <c r="A849" s="74" t="n"/>
      <c r="B849" s="74" t="n"/>
      <c r="C849" s="74" t="n"/>
      <c r="D849" s="74" t="n"/>
      <c r="E849" s="74" t="n"/>
      <c r="F849" s="74" t="n"/>
    </row>
    <row r="850" ht="12.75" customHeight="1" s="58">
      <c r="A850" s="74" t="n"/>
      <c r="B850" s="74" t="n"/>
      <c r="C850" s="74" t="n"/>
      <c r="D850" s="74" t="n"/>
      <c r="E850" s="74" t="n"/>
      <c r="F850" s="74" t="n"/>
    </row>
    <row r="851" ht="12.75" customHeight="1" s="58">
      <c r="A851" s="74" t="n"/>
      <c r="B851" s="74" t="n"/>
      <c r="C851" s="74" t="n"/>
      <c r="D851" s="74" t="n"/>
      <c r="E851" s="74" t="n"/>
      <c r="F851" s="74" t="n"/>
    </row>
    <row r="852" ht="12.75" customHeight="1" s="58">
      <c r="A852" s="74" t="n"/>
      <c r="B852" s="74" t="n"/>
      <c r="C852" s="74" t="n"/>
      <c r="D852" s="74" t="n"/>
      <c r="E852" s="74" t="n"/>
      <c r="F852" s="74" t="n"/>
    </row>
    <row r="853" ht="12.75" customHeight="1" s="58">
      <c r="A853" s="74" t="n"/>
      <c r="B853" s="74" t="n"/>
      <c r="C853" s="74" t="n"/>
      <c r="D853" s="74" t="n"/>
      <c r="E853" s="74" t="n"/>
      <c r="F853" s="74" t="n"/>
    </row>
    <row r="854" ht="12.75" customHeight="1" s="58">
      <c r="A854" s="74" t="n"/>
      <c r="B854" s="74" t="n"/>
      <c r="C854" s="74" t="n"/>
      <c r="D854" s="74" t="n"/>
      <c r="E854" s="74" t="n"/>
      <c r="F854" s="74" t="n"/>
    </row>
    <row r="855" ht="12.75" customHeight="1" s="58">
      <c r="A855" s="74" t="n"/>
      <c r="B855" s="74" t="n"/>
      <c r="C855" s="74" t="n"/>
      <c r="D855" s="74" t="n"/>
      <c r="E855" s="74" t="n"/>
      <c r="F855" s="74" t="n"/>
    </row>
    <row r="856" ht="12.75" customHeight="1" s="58">
      <c r="A856" s="74" t="n"/>
      <c r="B856" s="74" t="n"/>
      <c r="C856" s="74" t="n"/>
      <c r="D856" s="74" t="n"/>
      <c r="E856" s="74" t="n"/>
      <c r="F856" s="74" t="n"/>
    </row>
    <row r="857" ht="12.75" customHeight="1" s="58">
      <c r="A857" s="74" t="n"/>
      <c r="B857" s="74" t="n"/>
      <c r="C857" s="74" t="n"/>
      <c r="D857" s="74" t="n"/>
      <c r="E857" s="74" t="n"/>
      <c r="F857" s="74" t="n"/>
    </row>
    <row r="858" ht="12.75" customHeight="1" s="58">
      <c r="A858" s="74" t="n"/>
      <c r="B858" s="74" t="n"/>
      <c r="C858" s="74" t="n"/>
      <c r="D858" s="74" t="n"/>
      <c r="E858" s="74" t="n"/>
      <c r="F858" s="74" t="n"/>
    </row>
    <row r="859" ht="12.75" customHeight="1" s="58">
      <c r="A859" s="74" t="n"/>
      <c r="B859" s="74" t="n"/>
      <c r="C859" s="74" t="n"/>
      <c r="D859" s="74" t="n"/>
      <c r="E859" s="74" t="n"/>
      <c r="F859" s="74" t="n"/>
    </row>
    <row r="860" ht="12.75" customHeight="1" s="58">
      <c r="A860" s="74" t="n"/>
      <c r="B860" s="74" t="n"/>
      <c r="C860" s="74" t="n"/>
      <c r="D860" s="74" t="n"/>
      <c r="E860" s="74" t="n"/>
      <c r="F860" s="74" t="n"/>
    </row>
    <row r="861" ht="12.75" customHeight="1" s="58">
      <c r="A861" s="74" t="n"/>
      <c r="B861" s="74" t="n"/>
      <c r="C861" s="74" t="n"/>
      <c r="D861" s="74" t="n"/>
      <c r="E861" s="74" t="n"/>
      <c r="F861" s="74" t="n"/>
    </row>
    <row r="862" ht="12.75" customHeight="1" s="58">
      <c r="A862" s="74" t="n"/>
      <c r="B862" s="74" t="n"/>
      <c r="C862" s="74" t="n"/>
      <c r="D862" s="74" t="n"/>
      <c r="E862" s="74" t="n"/>
      <c r="F862" s="74" t="n"/>
    </row>
    <row r="863" ht="12.75" customHeight="1" s="58">
      <c r="A863" s="74" t="n"/>
      <c r="B863" s="74" t="n"/>
      <c r="C863" s="74" t="n"/>
      <c r="D863" s="74" t="n"/>
      <c r="E863" s="74" t="n"/>
      <c r="F863" s="74" t="n"/>
    </row>
    <row r="864" ht="12.75" customHeight="1" s="58">
      <c r="A864" s="74" t="n"/>
      <c r="B864" s="74" t="n"/>
      <c r="C864" s="74" t="n"/>
      <c r="D864" s="74" t="n"/>
      <c r="E864" s="74" t="n"/>
      <c r="F864" s="74" t="n"/>
    </row>
    <row r="865" ht="12.75" customHeight="1" s="58">
      <c r="A865" s="74" t="n"/>
      <c r="B865" s="74" t="n"/>
      <c r="C865" s="74" t="n"/>
      <c r="D865" s="74" t="n"/>
      <c r="E865" s="74" t="n"/>
      <c r="F865" s="74" t="n"/>
    </row>
    <row r="866" ht="12.75" customHeight="1" s="58">
      <c r="A866" s="74" t="n"/>
      <c r="B866" s="74" t="n"/>
      <c r="C866" s="74" t="n"/>
      <c r="D866" s="74" t="n"/>
      <c r="E866" s="74" t="n"/>
      <c r="F866" s="74" t="n"/>
    </row>
    <row r="867" ht="12.75" customHeight="1" s="58">
      <c r="A867" s="74" t="n"/>
      <c r="B867" s="74" t="n"/>
      <c r="C867" s="74" t="n"/>
      <c r="D867" s="74" t="n"/>
      <c r="E867" s="74" t="n"/>
      <c r="F867" s="74" t="n"/>
    </row>
    <row r="868" ht="12.75" customHeight="1" s="58">
      <c r="A868" s="74" t="n"/>
      <c r="B868" s="74" t="n"/>
      <c r="C868" s="74" t="n"/>
      <c r="D868" s="74" t="n"/>
      <c r="E868" s="74" t="n"/>
      <c r="F868" s="74" t="n"/>
    </row>
    <row r="869" ht="12.75" customHeight="1" s="58">
      <c r="A869" s="74" t="n"/>
      <c r="B869" s="74" t="n"/>
      <c r="C869" s="74" t="n"/>
      <c r="D869" s="74" t="n"/>
      <c r="E869" s="74" t="n"/>
      <c r="F869" s="74" t="n"/>
    </row>
    <row r="870" ht="12.75" customHeight="1" s="58">
      <c r="A870" s="74" t="n"/>
      <c r="B870" s="74" t="n"/>
      <c r="C870" s="74" t="n"/>
      <c r="D870" s="74" t="n"/>
      <c r="E870" s="74" t="n"/>
      <c r="F870" s="74" t="n"/>
    </row>
    <row r="871" ht="12.75" customHeight="1" s="58">
      <c r="A871" s="74" t="n"/>
      <c r="B871" s="74" t="n"/>
      <c r="C871" s="74" t="n"/>
      <c r="D871" s="74" t="n"/>
      <c r="E871" s="74" t="n"/>
      <c r="F871" s="74" t="n"/>
    </row>
    <row r="872" ht="12.75" customHeight="1" s="58">
      <c r="A872" s="74" t="n"/>
      <c r="B872" s="74" t="n"/>
      <c r="C872" s="74" t="n"/>
      <c r="D872" s="74" t="n"/>
      <c r="E872" s="74" t="n"/>
      <c r="F872" s="74" t="n"/>
    </row>
    <row r="873" ht="12.75" customHeight="1" s="58">
      <c r="A873" s="74" t="n"/>
      <c r="B873" s="74" t="n"/>
      <c r="C873" s="74" t="n"/>
      <c r="D873" s="74" t="n"/>
      <c r="E873" s="74" t="n"/>
      <c r="F873" s="74" t="n"/>
    </row>
    <row r="874" ht="12.75" customHeight="1" s="58">
      <c r="A874" s="74" t="n"/>
      <c r="B874" s="74" t="n"/>
      <c r="C874" s="74" t="n"/>
      <c r="D874" s="74" t="n"/>
      <c r="E874" s="74" t="n"/>
      <c r="F874" s="74" t="n"/>
    </row>
    <row r="875" ht="12.75" customHeight="1" s="58">
      <c r="A875" s="74" t="n"/>
      <c r="B875" s="74" t="n"/>
      <c r="C875" s="74" t="n"/>
      <c r="D875" s="74" t="n"/>
      <c r="E875" s="74" t="n"/>
      <c r="F875" s="74" t="n"/>
    </row>
    <row r="876" ht="12.75" customHeight="1" s="58">
      <c r="A876" s="74" t="n"/>
      <c r="B876" s="74" t="n"/>
      <c r="C876" s="74" t="n"/>
      <c r="D876" s="74" t="n"/>
      <c r="E876" s="74" t="n"/>
      <c r="F876" s="74" t="n"/>
    </row>
    <row r="877" ht="12.75" customHeight="1" s="58">
      <c r="A877" s="74" t="n"/>
      <c r="B877" s="74" t="n"/>
      <c r="C877" s="74" t="n"/>
      <c r="D877" s="74" t="n"/>
      <c r="E877" s="74" t="n"/>
      <c r="F877" s="74" t="n"/>
    </row>
    <row r="878" ht="12.75" customHeight="1" s="58">
      <c r="A878" s="74" t="n"/>
      <c r="B878" s="74" t="n"/>
      <c r="C878" s="74" t="n"/>
      <c r="D878" s="74" t="n"/>
      <c r="E878" s="74" t="n"/>
      <c r="F878" s="74" t="n"/>
    </row>
    <row r="879" ht="12.75" customHeight="1" s="58">
      <c r="A879" s="74" t="n"/>
      <c r="B879" s="74" t="n"/>
      <c r="C879" s="74" t="n"/>
      <c r="D879" s="74" t="n"/>
      <c r="E879" s="74" t="n"/>
      <c r="F879" s="74" t="n"/>
    </row>
    <row r="880" ht="12.75" customHeight="1" s="58">
      <c r="A880" s="74" t="n"/>
      <c r="B880" s="74" t="n"/>
      <c r="C880" s="74" t="n"/>
      <c r="D880" s="74" t="n"/>
      <c r="E880" s="74" t="n"/>
      <c r="F880" s="74" t="n"/>
    </row>
    <row r="881" ht="12.75" customHeight="1" s="58">
      <c r="A881" s="74" t="n"/>
      <c r="B881" s="74" t="n"/>
      <c r="C881" s="74" t="n"/>
      <c r="D881" s="74" t="n"/>
      <c r="E881" s="74" t="n"/>
      <c r="F881" s="74" t="n"/>
    </row>
    <row r="882" ht="12.75" customHeight="1" s="58">
      <c r="A882" s="74" t="n"/>
      <c r="B882" s="74" t="n"/>
      <c r="C882" s="74" t="n"/>
      <c r="D882" s="74" t="n"/>
      <c r="E882" s="74" t="n"/>
      <c r="F882" s="74" t="n"/>
    </row>
    <row r="883" ht="12.75" customHeight="1" s="58">
      <c r="A883" s="74" t="n"/>
      <c r="B883" s="74" t="n"/>
      <c r="C883" s="74" t="n"/>
      <c r="D883" s="74" t="n"/>
      <c r="E883" s="74" t="n"/>
      <c r="F883" s="74" t="n"/>
    </row>
    <row r="884" ht="12.75" customHeight="1" s="58">
      <c r="A884" s="74" t="n"/>
      <c r="B884" s="74" t="n"/>
      <c r="C884" s="74" t="n"/>
      <c r="D884" s="74" t="n"/>
      <c r="E884" s="74" t="n"/>
      <c r="F884" s="74" t="n"/>
    </row>
    <row r="885" ht="12.75" customHeight="1" s="58">
      <c r="A885" s="74" t="n"/>
      <c r="B885" s="74" t="n"/>
      <c r="C885" s="74" t="n"/>
      <c r="D885" s="74" t="n"/>
      <c r="E885" s="74" t="n"/>
      <c r="F885" s="74" t="n"/>
    </row>
    <row r="886" ht="12.75" customHeight="1" s="58">
      <c r="A886" s="74" t="n"/>
      <c r="B886" s="74" t="n"/>
      <c r="C886" s="74" t="n"/>
      <c r="D886" s="74" t="n"/>
      <c r="E886" s="74" t="n"/>
      <c r="F886" s="74" t="n"/>
    </row>
    <row r="887" ht="12.75" customHeight="1" s="58">
      <c r="A887" s="74" t="n"/>
      <c r="B887" s="74" t="n"/>
      <c r="C887" s="74" t="n"/>
      <c r="D887" s="74" t="n"/>
      <c r="E887" s="74" t="n"/>
      <c r="F887" s="74" t="n"/>
    </row>
    <row r="888" ht="12.75" customHeight="1" s="58">
      <c r="A888" s="74" t="n"/>
      <c r="B888" s="74" t="n"/>
      <c r="C888" s="74" t="n"/>
      <c r="D888" s="74" t="n"/>
      <c r="E888" s="74" t="n"/>
      <c r="F888" s="74" t="n"/>
    </row>
    <row r="889" ht="12.75" customHeight="1" s="58">
      <c r="A889" s="74" t="n"/>
      <c r="B889" s="74" t="n"/>
      <c r="C889" s="74" t="n"/>
      <c r="D889" s="74" t="n"/>
      <c r="E889" s="74" t="n"/>
      <c r="F889" s="74" t="n"/>
    </row>
    <row r="890" ht="12.75" customHeight="1" s="58">
      <c r="A890" s="74" t="n"/>
      <c r="B890" s="74" t="n"/>
      <c r="C890" s="74" t="n"/>
      <c r="D890" s="74" t="n"/>
      <c r="E890" s="74" t="n"/>
      <c r="F890" s="74" t="n"/>
    </row>
    <row r="891" ht="12.75" customHeight="1" s="58">
      <c r="A891" s="74" t="n"/>
      <c r="B891" s="74" t="n"/>
      <c r="C891" s="74" t="n"/>
      <c r="D891" s="74" t="n"/>
      <c r="E891" s="74" t="n"/>
      <c r="F891" s="74" t="n"/>
    </row>
    <row r="892" ht="12.75" customHeight="1" s="58">
      <c r="A892" s="74" t="n"/>
      <c r="B892" s="74" t="n"/>
      <c r="C892" s="74" t="n"/>
      <c r="D892" s="74" t="n"/>
      <c r="E892" s="74" t="n"/>
      <c r="F892" s="74" t="n"/>
    </row>
    <row r="893" ht="12.75" customHeight="1" s="58">
      <c r="A893" s="74" t="n"/>
      <c r="B893" s="74" t="n"/>
      <c r="C893" s="74" t="n"/>
      <c r="D893" s="74" t="n"/>
      <c r="E893" s="74" t="n"/>
      <c r="F893" s="74" t="n"/>
    </row>
    <row r="894" ht="12.75" customHeight="1" s="58">
      <c r="A894" s="74" t="n"/>
      <c r="B894" s="74" t="n"/>
      <c r="C894" s="74" t="n"/>
      <c r="D894" s="74" t="n"/>
      <c r="E894" s="74" t="n"/>
      <c r="F894" s="74" t="n"/>
    </row>
    <row r="895" ht="12.75" customHeight="1" s="58">
      <c r="A895" s="74" t="n"/>
      <c r="B895" s="74" t="n"/>
      <c r="C895" s="74" t="n"/>
      <c r="D895" s="74" t="n"/>
      <c r="E895" s="74" t="n"/>
      <c r="F895" s="74" t="n"/>
    </row>
    <row r="896" ht="12.75" customHeight="1" s="58">
      <c r="A896" s="74" t="n"/>
      <c r="B896" s="74" t="n"/>
      <c r="C896" s="74" t="n"/>
      <c r="D896" s="74" t="n"/>
      <c r="E896" s="74" t="n"/>
      <c r="F896" s="74" t="n"/>
    </row>
    <row r="897" ht="12.75" customHeight="1" s="58">
      <c r="A897" s="74" t="n"/>
      <c r="B897" s="74" t="n"/>
      <c r="C897" s="74" t="n"/>
      <c r="D897" s="74" t="n"/>
      <c r="E897" s="74" t="n"/>
      <c r="F897" s="74" t="n"/>
    </row>
    <row r="898" ht="12.75" customHeight="1" s="58">
      <c r="A898" s="74" t="n"/>
      <c r="B898" s="74" t="n"/>
      <c r="C898" s="74" t="n"/>
      <c r="D898" s="74" t="n"/>
      <c r="E898" s="74" t="n"/>
      <c r="F898" s="74" t="n"/>
    </row>
    <row r="899" ht="12.75" customHeight="1" s="58">
      <c r="A899" s="74" t="n"/>
      <c r="B899" s="74" t="n"/>
      <c r="C899" s="74" t="n"/>
      <c r="D899" s="74" t="n"/>
      <c r="E899" s="74" t="n"/>
      <c r="F899" s="74" t="n"/>
    </row>
    <row r="900" ht="12.75" customHeight="1" s="58">
      <c r="A900" s="74" t="n"/>
      <c r="B900" s="74" t="n"/>
      <c r="C900" s="74" t="n"/>
      <c r="D900" s="74" t="n"/>
      <c r="E900" s="74" t="n"/>
      <c r="F900" s="74" t="n"/>
    </row>
    <row r="901" ht="12.75" customHeight="1" s="58">
      <c r="A901" s="74" t="n"/>
      <c r="B901" s="74" t="n"/>
      <c r="C901" s="74" t="n"/>
      <c r="D901" s="74" t="n"/>
      <c r="E901" s="74" t="n"/>
      <c r="F901" s="74" t="n"/>
    </row>
    <row r="902" ht="12.75" customHeight="1" s="58">
      <c r="A902" s="74" t="n"/>
      <c r="B902" s="74" t="n"/>
      <c r="C902" s="74" t="n"/>
      <c r="D902" s="74" t="n"/>
      <c r="E902" s="74" t="n"/>
      <c r="F902" s="74" t="n"/>
    </row>
    <row r="903" ht="12.75" customHeight="1" s="58">
      <c r="A903" s="74" t="n"/>
      <c r="B903" s="74" t="n"/>
      <c r="C903" s="74" t="n"/>
      <c r="D903" s="74" t="n"/>
      <c r="E903" s="74" t="n"/>
      <c r="F903" s="74" t="n"/>
    </row>
    <row r="904" ht="12.75" customHeight="1" s="58">
      <c r="A904" s="74" t="n"/>
      <c r="B904" s="74" t="n"/>
      <c r="C904" s="74" t="n"/>
      <c r="D904" s="74" t="n"/>
      <c r="E904" s="74" t="n"/>
      <c r="F904" s="74" t="n"/>
    </row>
    <row r="905" ht="12.75" customHeight="1" s="58">
      <c r="A905" s="74" t="n"/>
      <c r="B905" s="74" t="n"/>
      <c r="C905" s="74" t="n"/>
      <c r="D905" s="74" t="n"/>
      <c r="E905" s="74" t="n"/>
      <c r="F905" s="74" t="n"/>
    </row>
    <row r="906" ht="12.75" customHeight="1" s="58">
      <c r="A906" s="74" t="n"/>
      <c r="B906" s="74" t="n"/>
      <c r="C906" s="74" t="n"/>
      <c r="D906" s="74" t="n"/>
      <c r="E906" s="74" t="n"/>
      <c r="F906" s="74" t="n"/>
    </row>
    <row r="907" ht="12.75" customHeight="1" s="58">
      <c r="A907" s="74" t="n"/>
      <c r="B907" s="74" t="n"/>
      <c r="C907" s="74" t="n"/>
      <c r="D907" s="74" t="n"/>
      <c r="E907" s="74" t="n"/>
      <c r="F907" s="74" t="n"/>
    </row>
    <row r="908" ht="12.75" customHeight="1" s="58">
      <c r="A908" s="74" t="n"/>
      <c r="B908" s="74" t="n"/>
      <c r="C908" s="74" t="n"/>
      <c r="D908" s="74" t="n"/>
      <c r="E908" s="74" t="n"/>
      <c r="F908" s="74" t="n"/>
    </row>
    <row r="909" ht="12.75" customHeight="1" s="58">
      <c r="A909" s="74" t="n"/>
      <c r="B909" s="74" t="n"/>
      <c r="C909" s="74" t="n"/>
      <c r="D909" s="74" t="n"/>
      <c r="E909" s="74" t="n"/>
      <c r="F909" s="74" t="n"/>
    </row>
    <row r="910" ht="12.75" customHeight="1" s="58">
      <c r="A910" s="74" t="n"/>
      <c r="B910" s="74" t="n"/>
      <c r="C910" s="74" t="n"/>
      <c r="D910" s="74" t="n"/>
      <c r="E910" s="74" t="n"/>
      <c r="F910" s="74" t="n"/>
    </row>
    <row r="911" ht="12.75" customHeight="1" s="58">
      <c r="A911" s="74" t="n"/>
      <c r="B911" s="74" t="n"/>
      <c r="C911" s="74" t="n"/>
      <c r="D911" s="74" t="n"/>
      <c r="E911" s="74" t="n"/>
      <c r="F911" s="74" t="n"/>
    </row>
    <row r="912" ht="12.75" customHeight="1" s="58">
      <c r="A912" s="74" t="n"/>
      <c r="B912" s="74" t="n"/>
      <c r="C912" s="74" t="n"/>
      <c r="D912" s="74" t="n"/>
      <c r="E912" s="74" t="n"/>
      <c r="F912" s="74" t="n"/>
    </row>
    <row r="913" ht="12.75" customHeight="1" s="58">
      <c r="A913" s="74" t="n"/>
      <c r="B913" s="74" t="n"/>
      <c r="C913" s="74" t="n"/>
      <c r="D913" s="74" t="n"/>
      <c r="E913" s="74" t="n"/>
      <c r="F913" s="74" t="n"/>
    </row>
    <row r="914" ht="12.75" customHeight="1" s="58">
      <c r="A914" s="74" t="n"/>
      <c r="B914" s="74" t="n"/>
      <c r="C914" s="74" t="n"/>
      <c r="D914" s="74" t="n"/>
      <c r="E914" s="74" t="n"/>
      <c r="F914" s="74" t="n"/>
    </row>
    <row r="915" ht="12.75" customHeight="1" s="58">
      <c r="A915" s="74" t="n"/>
      <c r="B915" s="74" t="n"/>
      <c r="C915" s="74" t="n"/>
      <c r="D915" s="74" t="n"/>
      <c r="E915" s="74" t="n"/>
      <c r="F915" s="74" t="n"/>
    </row>
    <row r="916" ht="12.75" customHeight="1" s="58">
      <c r="A916" s="74" t="n"/>
      <c r="B916" s="74" t="n"/>
      <c r="C916" s="74" t="n"/>
      <c r="D916" s="74" t="n"/>
      <c r="E916" s="74" t="n"/>
      <c r="F916" s="74" t="n"/>
    </row>
    <row r="917" ht="12.75" customHeight="1" s="58">
      <c r="A917" s="74" t="n"/>
      <c r="B917" s="74" t="n"/>
      <c r="C917" s="74" t="n"/>
      <c r="D917" s="74" t="n"/>
      <c r="E917" s="74" t="n"/>
      <c r="F917" s="74" t="n"/>
    </row>
    <row r="918" ht="12.75" customHeight="1" s="58">
      <c r="A918" s="74" t="n"/>
      <c r="B918" s="74" t="n"/>
      <c r="C918" s="74" t="n"/>
      <c r="D918" s="74" t="n"/>
      <c r="E918" s="74" t="n"/>
      <c r="F918" s="74" t="n"/>
    </row>
    <row r="919" ht="12.75" customHeight="1" s="58">
      <c r="A919" s="74" t="n"/>
      <c r="B919" s="74" t="n"/>
      <c r="C919" s="74" t="n"/>
      <c r="D919" s="74" t="n"/>
      <c r="E919" s="74" t="n"/>
      <c r="F919" s="74" t="n"/>
    </row>
    <row r="920" ht="12.75" customHeight="1" s="58">
      <c r="A920" s="74" t="n"/>
      <c r="B920" s="74" t="n"/>
      <c r="C920" s="74" t="n"/>
      <c r="D920" s="74" t="n"/>
      <c r="E920" s="74" t="n"/>
      <c r="F920" s="74" t="n"/>
    </row>
    <row r="921" ht="12.75" customHeight="1" s="58">
      <c r="A921" s="74" t="n"/>
      <c r="B921" s="74" t="n"/>
      <c r="C921" s="74" t="n"/>
      <c r="D921" s="74" t="n"/>
      <c r="E921" s="74" t="n"/>
      <c r="F921" s="74" t="n"/>
    </row>
    <row r="922" ht="12.75" customHeight="1" s="58">
      <c r="A922" s="74" t="n"/>
      <c r="B922" s="74" t="n"/>
      <c r="C922" s="74" t="n"/>
      <c r="D922" s="74" t="n"/>
      <c r="E922" s="74" t="n"/>
      <c r="F922" s="74" t="n"/>
    </row>
    <row r="923" ht="12.75" customHeight="1" s="58">
      <c r="A923" s="74" t="n"/>
      <c r="B923" s="74" t="n"/>
      <c r="C923" s="74" t="n"/>
      <c r="D923" s="74" t="n"/>
      <c r="E923" s="74" t="n"/>
      <c r="F923" s="74" t="n"/>
    </row>
    <row r="924" ht="12.75" customHeight="1" s="58">
      <c r="A924" s="74" t="n"/>
      <c r="B924" s="74" t="n"/>
      <c r="C924" s="74" t="n"/>
      <c r="D924" s="74" t="n"/>
      <c r="E924" s="74" t="n"/>
      <c r="F924" s="74" t="n"/>
    </row>
    <row r="925" ht="12.75" customHeight="1" s="58">
      <c r="A925" s="74" t="n"/>
      <c r="B925" s="74" t="n"/>
      <c r="C925" s="74" t="n"/>
      <c r="D925" s="74" t="n"/>
      <c r="E925" s="74" t="n"/>
      <c r="F925" s="74" t="n"/>
    </row>
    <row r="926" ht="12.75" customHeight="1" s="58">
      <c r="A926" s="74" t="n"/>
      <c r="B926" s="74" t="n"/>
      <c r="C926" s="74" t="n"/>
      <c r="D926" s="74" t="n"/>
      <c r="E926" s="74" t="n"/>
      <c r="F926" s="74" t="n"/>
    </row>
    <row r="927" ht="12.75" customHeight="1" s="58">
      <c r="A927" s="74" t="n"/>
      <c r="B927" s="74" t="n"/>
      <c r="C927" s="74" t="n"/>
      <c r="D927" s="74" t="n"/>
      <c r="E927" s="74" t="n"/>
      <c r="F927" s="74" t="n"/>
    </row>
    <row r="928" ht="12.75" customHeight="1" s="58">
      <c r="A928" s="74" t="n"/>
      <c r="B928" s="74" t="n"/>
      <c r="C928" s="74" t="n"/>
      <c r="D928" s="74" t="n"/>
      <c r="E928" s="74" t="n"/>
      <c r="F928" s="74" t="n"/>
    </row>
    <row r="929" ht="12.75" customHeight="1" s="58">
      <c r="A929" s="74" t="n"/>
      <c r="B929" s="74" t="n"/>
      <c r="C929" s="74" t="n"/>
      <c r="D929" s="74" t="n"/>
      <c r="E929" s="74" t="n"/>
      <c r="F929" s="74" t="n"/>
    </row>
    <row r="930" ht="12.75" customHeight="1" s="58">
      <c r="A930" s="74" t="n"/>
      <c r="B930" s="74" t="n"/>
      <c r="C930" s="74" t="n"/>
      <c r="D930" s="74" t="n"/>
      <c r="E930" s="74" t="n"/>
      <c r="F930" s="74" t="n"/>
    </row>
    <row r="931" ht="12.75" customHeight="1" s="58">
      <c r="A931" s="74" t="n"/>
      <c r="B931" s="74" t="n"/>
      <c r="C931" s="74" t="n"/>
      <c r="D931" s="74" t="n"/>
      <c r="E931" s="74" t="n"/>
      <c r="F931" s="74" t="n"/>
    </row>
    <row r="932" ht="12.75" customHeight="1" s="58">
      <c r="A932" s="74" t="n"/>
      <c r="B932" s="74" t="n"/>
      <c r="C932" s="74" t="n"/>
      <c r="D932" s="74" t="n"/>
      <c r="E932" s="74" t="n"/>
      <c r="F932" s="74" t="n"/>
    </row>
    <row r="933" ht="12.75" customHeight="1" s="58">
      <c r="A933" s="74" t="n"/>
      <c r="B933" s="74" t="n"/>
      <c r="C933" s="74" t="n"/>
      <c r="D933" s="74" t="n"/>
      <c r="E933" s="74" t="n"/>
      <c r="F933" s="74" t="n"/>
    </row>
    <row r="934" ht="12.75" customHeight="1" s="58">
      <c r="A934" s="74" t="n"/>
      <c r="B934" s="74" t="n"/>
      <c r="C934" s="74" t="n"/>
      <c r="D934" s="74" t="n"/>
      <c r="E934" s="74" t="n"/>
      <c r="F934" s="74" t="n"/>
    </row>
    <row r="935" ht="12.75" customHeight="1" s="58">
      <c r="A935" s="74" t="n"/>
      <c r="B935" s="74" t="n"/>
      <c r="C935" s="74" t="n"/>
      <c r="D935" s="74" t="n"/>
      <c r="E935" s="74" t="n"/>
      <c r="F935" s="74" t="n"/>
    </row>
    <row r="936" ht="12.75" customHeight="1" s="58">
      <c r="A936" s="74" t="n"/>
      <c r="B936" s="74" t="n"/>
      <c r="C936" s="74" t="n"/>
      <c r="D936" s="74" t="n"/>
      <c r="E936" s="74" t="n"/>
      <c r="F936" s="74" t="n"/>
    </row>
    <row r="937" ht="12.75" customHeight="1" s="58">
      <c r="A937" s="74" t="n"/>
      <c r="B937" s="74" t="n"/>
      <c r="C937" s="74" t="n"/>
      <c r="D937" s="74" t="n"/>
      <c r="E937" s="74" t="n"/>
      <c r="F937" s="74" t="n"/>
    </row>
    <row r="938" ht="12.75" customHeight="1" s="58">
      <c r="A938" s="74" t="n"/>
      <c r="B938" s="74" t="n"/>
      <c r="C938" s="74" t="n"/>
      <c r="D938" s="74" t="n"/>
      <c r="E938" s="74" t="n"/>
      <c r="F938" s="74" t="n"/>
    </row>
    <row r="939" ht="12.75" customHeight="1" s="58">
      <c r="A939" s="74" t="n"/>
      <c r="B939" s="74" t="n"/>
      <c r="C939" s="74" t="n"/>
      <c r="D939" s="74" t="n"/>
      <c r="E939" s="74" t="n"/>
      <c r="F939" s="74" t="n"/>
    </row>
    <row r="940" ht="12.75" customHeight="1" s="58">
      <c r="A940" s="74" t="n"/>
      <c r="B940" s="74" t="n"/>
      <c r="C940" s="74" t="n"/>
      <c r="D940" s="74" t="n"/>
      <c r="E940" s="74" t="n"/>
      <c r="F940" s="74" t="n"/>
    </row>
    <row r="941" ht="12.75" customHeight="1" s="58">
      <c r="A941" s="74" t="n"/>
      <c r="B941" s="74" t="n"/>
      <c r="C941" s="74" t="n"/>
      <c r="D941" s="74" t="n"/>
      <c r="E941" s="74" t="n"/>
      <c r="F941" s="74" t="n"/>
    </row>
    <row r="942" ht="12.75" customHeight="1" s="58">
      <c r="A942" s="74" t="n"/>
      <c r="B942" s="74" t="n"/>
      <c r="C942" s="74" t="n"/>
      <c r="D942" s="74" t="n"/>
      <c r="E942" s="74" t="n"/>
      <c r="F942" s="74" t="n"/>
    </row>
    <row r="943" ht="12.75" customHeight="1" s="58">
      <c r="A943" s="74" t="n"/>
      <c r="B943" s="74" t="n"/>
      <c r="C943" s="74" t="n"/>
      <c r="D943" s="74" t="n"/>
      <c r="E943" s="74" t="n"/>
      <c r="F943" s="74" t="n"/>
    </row>
    <row r="944" ht="12.75" customHeight="1" s="58">
      <c r="A944" s="74" t="n"/>
      <c r="B944" s="74" t="n"/>
      <c r="C944" s="74" t="n"/>
      <c r="D944" s="74" t="n"/>
      <c r="E944" s="74" t="n"/>
      <c r="F944" s="74" t="n"/>
    </row>
    <row r="945" ht="12.75" customHeight="1" s="58">
      <c r="A945" s="74" t="n"/>
      <c r="B945" s="74" t="n"/>
      <c r="C945" s="74" t="n"/>
      <c r="D945" s="74" t="n"/>
      <c r="E945" s="74" t="n"/>
      <c r="F945" s="74" t="n"/>
    </row>
    <row r="946" ht="12.75" customHeight="1" s="58">
      <c r="A946" s="74" t="n"/>
      <c r="B946" s="74" t="n"/>
      <c r="C946" s="74" t="n"/>
      <c r="D946" s="74" t="n"/>
      <c r="E946" s="74" t="n"/>
      <c r="F946" s="74" t="n"/>
    </row>
    <row r="947" ht="12.75" customHeight="1" s="58">
      <c r="A947" s="74" t="n"/>
      <c r="B947" s="74" t="n"/>
      <c r="C947" s="74" t="n"/>
      <c r="D947" s="74" t="n"/>
      <c r="E947" s="74" t="n"/>
      <c r="F947" s="74" t="n"/>
    </row>
    <row r="948" ht="12.75" customHeight="1" s="58">
      <c r="A948" s="74" t="n"/>
      <c r="B948" s="74" t="n"/>
      <c r="C948" s="74" t="n"/>
      <c r="D948" s="74" t="n"/>
      <c r="E948" s="74" t="n"/>
      <c r="F948" s="74" t="n"/>
    </row>
    <row r="949" ht="12.75" customHeight="1" s="58">
      <c r="A949" s="74" t="n"/>
      <c r="B949" s="74" t="n"/>
      <c r="C949" s="74" t="n"/>
      <c r="D949" s="74" t="n"/>
      <c r="E949" s="74" t="n"/>
      <c r="F949" s="74" t="n"/>
    </row>
    <row r="950" ht="12.75" customHeight="1" s="58">
      <c r="A950" s="74" t="n"/>
      <c r="B950" s="74" t="n"/>
      <c r="C950" s="74" t="n"/>
      <c r="D950" s="74" t="n"/>
      <c r="E950" s="74" t="n"/>
      <c r="F950" s="74" t="n"/>
    </row>
    <row r="951" ht="12.75" customHeight="1" s="58">
      <c r="A951" s="74" t="n"/>
      <c r="B951" s="74" t="n"/>
      <c r="C951" s="74" t="n"/>
      <c r="D951" s="74" t="n"/>
      <c r="E951" s="74" t="n"/>
      <c r="F951" s="74" t="n"/>
    </row>
    <row r="952" ht="12.75" customHeight="1" s="58">
      <c r="A952" s="74" t="n"/>
      <c r="B952" s="74" t="n"/>
      <c r="C952" s="74" t="n"/>
      <c r="D952" s="74" t="n"/>
      <c r="E952" s="74" t="n"/>
      <c r="F952" s="74" t="n"/>
    </row>
    <row r="953" ht="12.75" customHeight="1" s="58">
      <c r="A953" s="74" t="n"/>
      <c r="B953" s="74" t="n"/>
      <c r="C953" s="74" t="n"/>
      <c r="D953" s="74" t="n"/>
      <c r="E953" s="74" t="n"/>
      <c r="F953" s="74" t="n"/>
    </row>
    <row r="954" ht="12.75" customHeight="1" s="58">
      <c r="A954" s="74" t="n"/>
      <c r="B954" s="74" t="n"/>
      <c r="C954" s="74" t="n"/>
      <c r="D954" s="74" t="n"/>
      <c r="E954" s="74" t="n"/>
      <c r="F954" s="74" t="n"/>
    </row>
    <row r="955" ht="12.75" customHeight="1" s="58">
      <c r="A955" s="74" t="n"/>
      <c r="B955" s="74" t="n"/>
      <c r="C955" s="74" t="n"/>
      <c r="D955" s="74" t="n"/>
      <c r="E955" s="74" t="n"/>
      <c r="F955" s="74" t="n"/>
    </row>
    <row r="956" ht="12.75" customHeight="1" s="58">
      <c r="A956" s="74" t="n"/>
      <c r="B956" s="74" t="n"/>
      <c r="C956" s="74" t="n"/>
      <c r="D956" s="74" t="n"/>
      <c r="E956" s="74" t="n"/>
      <c r="F956" s="74" t="n"/>
    </row>
    <row r="957" ht="12.75" customHeight="1" s="58">
      <c r="A957" s="74" t="n"/>
      <c r="B957" s="74" t="n"/>
      <c r="C957" s="74" t="n"/>
      <c r="D957" s="74" t="n"/>
      <c r="E957" s="74" t="n"/>
      <c r="F957" s="74" t="n"/>
    </row>
    <row r="958" ht="12.75" customHeight="1" s="58">
      <c r="A958" s="74" t="n"/>
      <c r="B958" s="74" t="n"/>
      <c r="C958" s="74" t="n"/>
      <c r="D958" s="74" t="n"/>
      <c r="E958" s="74" t="n"/>
      <c r="F958" s="74" t="n"/>
    </row>
    <row r="959" ht="12.75" customHeight="1" s="58">
      <c r="A959" s="74" t="n"/>
      <c r="B959" s="74" t="n"/>
      <c r="C959" s="74" t="n"/>
      <c r="D959" s="74" t="n"/>
      <c r="E959" s="74" t="n"/>
      <c r="F959" s="74" t="n"/>
    </row>
    <row r="960" ht="12.75" customHeight="1" s="58">
      <c r="A960" s="74" t="n"/>
      <c r="B960" s="74" t="n"/>
      <c r="C960" s="74" t="n"/>
      <c r="D960" s="74" t="n"/>
      <c r="E960" s="74" t="n"/>
      <c r="F960" s="74" t="n"/>
    </row>
    <row r="961" ht="12.75" customHeight="1" s="58">
      <c r="A961" s="74" t="n"/>
      <c r="B961" s="74" t="n"/>
      <c r="C961" s="74" t="n"/>
      <c r="D961" s="74" t="n"/>
      <c r="E961" s="74" t="n"/>
      <c r="F961" s="74" t="n"/>
    </row>
    <row r="962" ht="12.75" customHeight="1" s="58">
      <c r="A962" s="74" t="n"/>
      <c r="B962" s="74" t="n"/>
      <c r="C962" s="74" t="n"/>
      <c r="D962" s="74" t="n"/>
      <c r="E962" s="74" t="n"/>
      <c r="F962" s="74" t="n"/>
    </row>
    <row r="963" ht="12.75" customHeight="1" s="58">
      <c r="A963" s="74" t="n"/>
      <c r="B963" s="74" t="n"/>
      <c r="C963" s="74" t="n"/>
      <c r="D963" s="74" t="n"/>
      <c r="E963" s="74" t="n"/>
      <c r="F963" s="74" t="n"/>
    </row>
    <row r="964" ht="12.75" customHeight="1" s="58">
      <c r="A964" s="74" t="n"/>
      <c r="B964" s="74" t="n"/>
      <c r="C964" s="74" t="n"/>
      <c r="D964" s="74" t="n"/>
      <c r="E964" s="74" t="n"/>
      <c r="F964" s="74" t="n"/>
    </row>
    <row r="965" ht="12.75" customHeight="1" s="58">
      <c r="A965" s="74" t="n"/>
      <c r="B965" s="74" t="n"/>
      <c r="C965" s="74" t="n"/>
      <c r="D965" s="74" t="n"/>
      <c r="E965" s="74" t="n"/>
      <c r="F965" s="74" t="n"/>
    </row>
    <row r="966" ht="12.75" customHeight="1" s="58">
      <c r="A966" s="74" t="n"/>
      <c r="B966" s="74" t="n"/>
      <c r="C966" s="74" t="n"/>
      <c r="D966" s="74" t="n"/>
      <c r="E966" s="74" t="n"/>
      <c r="F966" s="74" t="n"/>
    </row>
    <row r="967" ht="12.75" customHeight="1" s="58">
      <c r="A967" s="74" t="n"/>
      <c r="B967" s="74" t="n"/>
      <c r="C967" s="74" t="n"/>
      <c r="D967" s="74" t="n"/>
      <c r="E967" s="74" t="n"/>
      <c r="F967" s="74" t="n"/>
    </row>
    <row r="968" ht="12.75" customHeight="1" s="58">
      <c r="A968" s="74" t="n"/>
      <c r="B968" s="74" t="n"/>
      <c r="C968" s="74" t="n"/>
      <c r="D968" s="74" t="n"/>
      <c r="E968" s="74" t="n"/>
      <c r="F968" s="74" t="n"/>
    </row>
    <row r="969" ht="12.75" customHeight="1" s="58">
      <c r="A969" s="74" t="n"/>
      <c r="B969" s="74" t="n"/>
      <c r="C969" s="74" t="n"/>
      <c r="D969" s="74" t="n"/>
      <c r="E969" s="74" t="n"/>
      <c r="F969" s="74" t="n"/>
    </row>
    <row r="970" ht="12.75" customHeight="1" s="58">
      <c r="A970" s="74" t="n"/>
      <c r="B970" s="74" t="n"/>
      <c r="C970" s="74" t="n"/>
      <c r="D970" s="74" t="n"/>
      <c r="E970" s="74" t="n"/>
      <c r="F970" s="74" t="n"/>
    </row>
    <row r="971" ht="12.75" customHeight="1" s="58">
      <c r="A971" s="74" t="n"/>
      <c r="B971" s="74" t="n"/>
      <c r="C971" s="74" t="n"/>
      <c r="D971" s="74" t="n"/>
      <c r="E971" s="74" t="n"/>
      <c r="F971" s="74" t="n"/>
    </row>
    <row r="972" ht="12.75" customHeight="1" s="58">
      <c r="A972" s="74" t="n"/>
      <c r="B972" s="74" t="n"/>
      <c r="C972" s="74" t="n"/>
      <c r="D972" s="74" t="n"/>
      <c r="E972" s="74" t="n"/>
      <c r="F972" s="74" t="n"/>
    </row>
    <row r="973" ht="12.75" customHeight="1" s="58">
      <c r="A973" s="74" t="n"/>
      <c r="B973" s="74" t="n"/>
      <c r="C973" s="74" t="n"/>
      <c r="D973" s="74" t="n"/>
      <c r="E973" s="74" t="n"/>
      <c r="F973" s="74" t="n"/>
    </row>
    <row r="974" ht="12.75" customHeight="1" s="58">
      <c r="A974" s="74" t="n"/>
      <c r="B974" s="74" t="n"/>
      <c r="C974" s="74" t="n"/>
      <c r="D974" s="74" t="n"/>
      <c r="E974" s="74" t="n"/>
      <c r="F974" s="74" t="n"/>
    </row>
    <row r="975" ht="12.75" customHeight="1" s="58">
      <c r="A975" s="74" t="n"/>
      <c r="B975" s="74" t="n"/>
      <c r="C975" s="74" t="n"/>
      <c r="D975" s="74" t="n"/>
      <c r="E975" s="74" t="n"/>
      <c r="F975" s="74" t="n"/>
    </row>
    <row r="976" ht="12.75" customHeight="1" s="58">
      <c r="A976" s="74" t="n"/>
      <c r="B976" s="74" t="n"/>
      <c r="C976" s="74" t="n"/>
      <c r="D976" s="74" t="n"/>
      <c r="E976" s="74" t="n"/>
      <c r="F976" s="74" t="n"/>
    </row>
    <row r="977" ht="12.75" customHeight="1" s="58">
      <c r="A977" s="74" t="n"/>
      <c r="B977" s="74" t="n"/>
      <c r="C977" s="74" t="n"/>
      <c r="D977" s="74" t="n"/>
      <c r="E977" s="74" t="n"/>
      <c r="F977" s="74" t="n"/>
    </row>
    <row r="978" ht="12.75" customHeight="1" s="58">
      <c r="A978" s="74" t="n"/>
      <c r="B978" s="74" t="n"/>
      <c r="C978" s="74" t="n"/>
      <c r="D978" s="74" t="n"/>
      <c r="E978" s="74" t="n"/>
      <c r="F978" s="74" t="n"/>
    </row>
    <row r="979" ht="12.75" customHeight="1" s="58">
      <c r="A979" s="74" t="n"/>
      <c r="B979" s="74" t="n"/>
      <c r="C979" s="74" t="n"/>
      <c r="D979" s="74" t="n"/>
      <c r="E979" s="74" t="n"/>
      <c r="F979" s="74" t="n"/>
    </row>
    <row r="980" ht="12.75" customHeight="1" s="58">
      <c r="A980" s="74" t="n"/>
      <c r="B980" s="74" t="n"/>
      <c r="C980" s="74" t="n"/>
      <c r="D980" s="74" t="n"/>
      <c r="E980" s="74" t="n"/>
      <c r="F980" s="74" t="n"/>
    </row>
    <row r="981" ht="12.75" customHeight="1" s="58">
      <c r="A981" s="74" t="n"/>
      <c r="B981" s="74" t="n"/>
      <c r="C981" s="74" t="n"/>
      <c r="D981" s="74" t="n"/>
      <c r="E981" s="74" t="n"/>
      <c r="F981" s="74" t="n"/>
    </row>
    <row r="982" ht="12.75" customHeight="1" s="58">
      <c r="A982" s="74" t="n"/>
      <c r="B982" s="74" t="n"/>
      <c r="C982" s="74" t="n"/>
      <c r="D982" s="74" t="n"/>
      <c r="E982" s="74" t="n"/>
      <c r="F982" s="74" t="n"/>
    </row>
    <row r="983" ht="12.75" customHeight="1" s="58">
      <c r="A983" s="74" t="n"/>
      <c r="B983" s="74" t="n"/>
      <c r="C983" s="74" t="n"/>
      <c r="D983" s="74" t="n"/>
      <c r="E983" s="74" t="n"/>
      <c r="F983" s="74" t="n"/>
    </row>
    <row r="984" ht="12.75" customHeight="1" s="58">
      <c r="A984" s="74" t="n"/>
      <c r="B984" s="74" t="n"/>
      <c r="C984" s="74" t="n"/>
      <c r="D984" s="74" t="n"/>
      <c r="E984" s="74" t="n"/>
      <c r="F984" s="74" t="n"/>
    </row>
    <row r="985" ht="12.75" customHeight="1" s="58">
      <c r="A985" s="74" t="n"/>
      <c r="B985" s="74" t="n"/>
      <c r="C985" s="74" t="n"/>
      <c r="D985" s="74" t="n"/>
      <c r="E985" s="74" t="n"/>
      <c r="F985" s="74" t="n"/>
    </row>
    <row r="986" ht="12.75" customHeight="1" s="58">
      <c r="A986" s="74" t="n"/>
      <c r="B986" s="74" t="n"/>
      <c r="C986" s="74" t="n"/>
      <c r="D986" s="74" t="n"/>
      <c r="E986" s="74" t="n"/>
      <c r="F986" s="74" t="n"/>
    </row>
    <row r="987" ht="12.75" customHeight="1" s="58">
      <c r="A987" s="74" t="n"/>
      <c r="B987" s="74" t="n"/>
      <c r="C987" s="74" t="n"/>
      <c r="D987" s="74" t="n"/>
      <c r="E987" s="74" t="n"/>
      <c r="F987" s="74" t="n"/>
    </row>
    <row r="988" ht="12.75" customHeight="1" s="58">
      <c r="A988" s="74" t="n"/>
      <c r="B988" s="74" t="n"/>
      <c r="C988" s="74" t="n"/>
      <c r="D988" s="74" t="n"/>
      <c r="E988" s="74" t="n"/>
      <c r="F988" s="74" t="n"/>
    </row>
    <row r="989" ht="12.75" customHeight="1" s="58">
      <c r="A989" s="74" t="n"/>
      <c r="B989" s="74" t="n"/>
      <c r="C989" s="74" t="n"/>
      <c r="D989" s="74" t="n"/>
      <c r="E989" s="74" t="n"/>
      <c r="F989" s="74" t="n"/>
    </row>
    <row r="990" ht="12.75" customHeight="1" s="58">
      <c r="A990" s="74" t="n"/>
      <c r="B990" s="74" t="n"/>
      <c r="C990" s="74" t="n"/>
      <c r="D990" s="74" t="n"/>
      <c r="E990" s="74" t="n"/>
      <c r="F990" s="74" t="n"/>
    </row>
    <row r="991" ht="12.75" customHeight="1" s="58">
      <c r="A991" s="74" t="n"/>
      <c r="B991" s="74" t="n"/>
      <c r="C991" s="74" t="n"/>
      <c r="D991" s="74" t="n"/>
      <c r="E991" s="74" t="n"/>
      <c r="F991" s="74" t="n"/>
    </row>
    <row r="992" ht="12.75" customHeight="1" s="58">
      <c r="A992" s="74" t="n"/>
      <c r="B992" s="74" t="n"/>
      <c r="C992" s="74" t="n"/>
      <c r="D992" s="74" t="n"/>
      <c r="E992" s="74" t="n"/>
      <c r="F992" s="74" t="n"/>
    </row>
    <row r="993" ht="12.75" customHeight="1" s="58">
      <c r="A993" s="74" t="n"/>
      <c r="B993" s="74" t="n"/>
      <c r="C993" s="74" t="n"/>
      <c r="D993" s="74" t="n"/>
      <c r="E993" s="74" t="n"/>
      <c r="F993" s="74" t="n"/>
    </row>
    <row r="994" ht="12.75" customHeight="1" s="58">
      <c r="A994" s="74" t="n"/>
      <c r="B994" s="74" t="n"/>
      <c r="C994" s="74" t="n"/>
      <c r="D994" s="74" t="n"/>
      <c r="E994" s="74" t="n"/>
      <c r="F994" s="74" t="n"/>
    </row>
    <row r="995" ht="12.75" customHeight="1" s="58">
      <c r="A995" s="74" t="n"/>
      <c r="B995" s="74" t="n"/>
      <c r="C995" s="74" t="n"/>
      <c r="D995" s="74" t="n"/>
      <c r="E995" s="74" t="n"/>
      <c r="F995" s="74" t="n"/>
    </row>
    <row r="996" ht="12.75" customHeight="1" s="58">
      <c r="A996" s="74" t="n"/>
      <c r="B996" s="74" t="n"/>
      <c r="C996" s="74" t="n"/>
      <c r="D996" s="74" t="n"/>
      <c r="E996" s="74" t="n"/>
      <c r="F996" s="74" t="n"/>
    </row>
    <row r="997" ht="12.75" customHeight="1" s="58">
      <c r="A997" s="74" t="n"/>
      <c r="B997" s="74" t="n"/>
      <c r="C997" s="74" t="n"/>
      <c r="D997" s="74" t="n"/>
      <c r="E997" s="74" t="n"/>
      <c r="F997" s="74" t="n"/>
    </row>
    <row r="998" ht="12.75" customHeight="1" s="58">
      <c r="A998" s="74" t="n"/>
      <c r="B998" s="74" t="n"/>
      <c r="C998" s="74" t="n"/>
      <c r="D998" s="74" t="n"/>
      <c r="E998" s="74" t="n"/>
      <c r="F998" s="74" t="n"/>
    </row>
    <row r="999" ht="12.75" customHeight="1" s="58">
      <c r="A999" s="74" t="n"/>
      <c r="B999" s="74" t="n"/>
      <c r="C999" s="74" t="n"/>
      <c r="D999" s="74" t="n"/>
      <c r="E999" s="74" t="n"/>
      <c r="F999" s="74" t="n"/>
    </row>
    <row r="1000" ht="12.75" customHeight="1" s="58">
      <c r="A1000" s="74" t="n"/>
      <c r="B1000" s="74" t="n"/>
      <c r="C1000" s="74" t="n"/>
      <c r="D1000" s="74" t="n"/>
      <c r="E1000" s="74" t="n"/>
      <c r="F1000" s="74" t="n"/>
    </row>
    <row r="1001" ht="12.75" customHeight="1" s="58">
      <c r="A1001" s="74" t="n"/>
      <c r="B1001" s="74" t="n"/>
      <c r="C1001" s="74" t="n"/>
      <c r="D1001" s="74" t="n"/>
      <c r="E1001" s="74" t="n"/>
      <c r="F1001" s="74"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M28"/>
  <sheetViews>
    <sheetView showGridLines="1" workbookViewId="0">
      <pane ySplit="1" topLeftCell="A2" activePane="bottomLeft" state="frozen"/>
      <selection pane="bottomLeft" activeCell="H11" sqref="H11"/>
    </sheetView>
  </sheetViews>
  <sheetFormatPr baseColWidth="8" defaultColWidth="12.5703125" defaultRowHeight="15.75" customHeight="1"/>
  <cols>
    <col width="13" customWidth="1" style="58" min="1" max="7"/>
    <col width="12" customWidth="1" style="58" min="2" max="2"/>
    <col width="16" customWidth="1" style="58" min="3" max="3"/>
    <col width="16" customWidth="1" style="58" min="4" max="4"/>
    <col width="18" customWidth="1" style="58" min="5" max="5"/>
    <col width="16" customWidth="1" style="58" min="6" max="6"/>
    <col width="28" customWidth="1" style="58" min="7" max="7"/>
    <col width="14" customWidth="1" style="58" min="8" max="8"/>
    <col width="12" customWidth="1" style="58" min="9" max="9"/>
    <col width="14" customWidth="1" style="58" min="10" max="10"/>
    <col width="14" customWidth="1" style="58" min="11" max="11"/>
    <col width="42" customWidth="1" style="58" min="12" max="12"/>
    <col width="32" customWidth="1" style="58" min="13" max="13"/>
  </cols>
  <sheetData>
    <row r="1" ht="32" customHeight="1" s="58">
      <c r="A1" s="94" t="inlineStr">
        <is>
          <t>Date</t>
        </is>
      </c>
      <c r="B1" s="94" t="inlineStr">
        <is>
          <t>US M2 ($T)</t>
        </is>
      </c>
      <c r="C1" s="94" t="inlineStr">
        <is>
          <t>Fed Balance Sheet (% GDP)</t>
        </is>
      </c>
      <c r="D1" s="94" t="inlineStr">
        <is>
          <t>Broad-Money Multiplier</t>
        </is>
      </c>
      <c r="E1" s="94" t="inlineStr">
        <is>
          <t>BTC Full-Reserve Lending Volume ($B)</t>
        </is>
      </c>
      <c r="F1" s="94" t="inlineStr">
        <is>
          <t>On-Chain Share of Total Crypto Lending (%)</t>
        </is>
      </c>
      <c r="G1" s="94" t="inlineStr">
        <is>
          <t>Wealth Gini (non-DFA) / Top-1 % (official DFA in H–K)</t>
        </is>
      </c>
      <c r="H1" s="94" t="inlineStr">
        <is>
          <t>DFA Top 1% (net worth %)</t>
        </is>
      </c>
      <c r="I1" s="94" t="inlineStr">
        <is>
          <t>DFA quarter</t>
        </is>
      </c>
      <c r="J1" s="94" t="inlineStr">
        <is>
          <t>DFA release date</t>
        </is>
      </c>
      <c r="K1" s="94" t="inlineStr">
        <is>
          <t>DFA series</t>
        </is>
      </c>
      <c r="L1" s="94" t="inlineStr">
        <is>
          <t>Observation on Multiplier Inoperability</t>
        </is>
      </c>
      <c r="M1" s="94" t="inlineStr">
        <is>
          <t>Source Citation</t>
        </is>
      </c>
    </row>
    <row r="2" ht="48" customHeight="1" s="58">
      <c r="A2" s="95" t="n">
        <v>45366</v>
      </c>
      <c r="B2" s="97" t="n">
        <v>20.1</v>
      </c>
      <c r="C2" s="97" t="n">
        <v>26.8</v>
      </c>
      <c r="D2" s="98" t="n">
        <v>4.2</v>
      </c>
      <c r="E2" s="99" t="n">
        <v>24</v>
      </c>
      <c r="F2" s="99" t="n">
        <v>43</v>
      </c>
      <c r="G2" s="96" t="inlineStr">
        <is>
          <t>Gini 0.90 / 30.3</t>
        </is>
      </c>
      <c r="H2" s="97" t="n">
        <v>30.3</v>
      </c>
      <c r="I2" s="100" t="inlineStr">
        <is>
          <t>2023:Q4</t>
        </is>
      </c>
      <c r="J2" s="95" t="n">
        <v>46191</v>
      </c>
      <c r="K2" s="100" t="inlineStr">
        <is>
          <t>WFRBST01134</t>
        </is>
      </c>
      <c r="L2" s="96" t="inlineStr">
        <is>
          <t>Multiplier effects remain fully functional in fiat systems while Bitcoin’s immutable issuance schedule eliminates the very channel.</t>
        </is>
      </c>
      <c r="M2" s="96" t="inlineStr">
        <is>
          <t>Fed DFA Mar 2024; DeFiLlama Mar 2024</t>
        </is>
      </c>
    </row>
    <row r="3" ht="48" customHeight="1" s="58">
      <c r="A3" s="95" t="n">
        <v>45458</v>
      </c>
      <c r="B3" s="97" t="n">
        <v>20.3</v>
      </c>
      <c r="C3" s="97" t="n">
        <v>26.3</v>
      </c>
      <c r="D3" s="98" t="n">
        <v>4.1</v>
      </c>
      <c r="E3" s="99" t="n">
        <v>28</v>
      </c>
      <c r="F3" s="99" t="n">
        <v>46</v>
      </c>
      <c r="G3" s="96" t="inlineStr">
        <is>
          <t>Gini 0.89 / 30.6</t>
        </is>
      </c>
      <c r="H3" s="97" t="n">
        <v>30.6</v>
      </c>
      <c r="I3" s="100" t="inlineStr">
        <is>
          <t>2024:Q1</t>
        </is>
      </c>
      <c r="J3" s="95" t="n">
        <v>46191</v>
      </c>
      <c r="K3" s="100" t="inlineStr">
        <is>
          <t>WFRBST01134</t>
        </is>
      </c>
      <c r="L3" s="96" t="inlineStr">
        <is>
          <t>Elastic broad-money creation in the fiat layer still enables discretionary liquidity injections.</t>
        </is>
      </c>
      <c r="M3" s="96" t="inlineStr">
        <is>
          <t>Fed H.6 Jun 2024; Glassnode Jun 2024</t>
        </is>
      </c>
    </row>
    <row r="4" ht="48" customHeight="1" s="58">
      <c r="A4" s="95" t="n">
        <v>45550</v>
      </c>
      <c r="B4" s="97" t="n">
        <v>20.6</v>
      </c>
      <c r="C4" s="97" t="n">
        <v>25.7</v>
      </c>
      <c r="D4" s="98" t="n">
        <v>4</v>
      </c>
      <c r="E4" s="99" t="n">
        <v>32</v>
      </c>
      <c r="F4" s="99" t="n">
        <v>49</v>
      </c>
      <c r="G4" s="96" t="inlineStr">
        <is>
          <t>Gini 0.89 / 30.5</t>
        </is>
      </c>
      <c r="H4" s="97" t="n">
        <v>30.5</v>
      </c>
      <c r="I4" s="100" t="inlineStr">
        <is>
          <t>2024:Q2</t>
        </is>
      </c>
      <c r="J4" s="95" t="n">
        <v>46191</v>
      </c>
      <c r="K4" s="100" t="inlineStr">
        <is>
          <t>WFRBST01134</t>
        </is>
      </c>
      <c r="L4" s="96" t="inlineStr">
        <is>
          <t>Fiat multipliers continue to operate through ongoing credit expansion.</t>
        </is>
      </c>
      <c r="M4" s="96" t="inlineStr">
        <is>
          <t>Fed DFA Sep 2024; DeFiLlama Sep 2024</t>
        </is>
      </c>
    </row>
    <row r="5" ht="48" customHeight="1" s="58">
      <c r="A5" s="95" t="n">
        <v>45641</v>
      </c>
      <c r="B5" s="97" t="n">
        <v>20.9</v>
      </c>
      <c r="C5" s="97" t="n">
        <v>25.1</v>
      </c>
      <c r="D5" s="98" t="n">
        <v>3.9</v>
      </c>
      <c r="E5" s="99" t="n">
        <v>36</v>
      </c>
      <c r="F5" s="99" t="n">
        <v>52</v>
      </c>
      <c r="G5" s="96" t="inlineStr">
        <is>
          <t>Gini 0.88 / 30.9</t>
        </is>
      </c>
      <c r="H5" s="97" t="n">
        <v>30.9</v>
      </c>
      <c r="I5" s="100" t="inlineStr">
        <is>
          <t>2024:Q3</t>
        </is>
      </c>
      <c r="J5" s="95" t="n">
        <v>46191</v>
      </c>
      <c r="K5" s="100" t="inlineStr">
        <is>
          <t>WFRBST01134</t>
        </is>
      </c>
      <c r="L5" s="96" t="inlineStr">
        <is>
          <t>Multiplier effects remain fully functional in fiat systems.</t>
        </is>
      </c>
      <c r="M5" s="96" t="inlineStr">
        <is>
          <t>Fed H.6 Dec 2024; Glassnode Dec 2024</t>
        </is>
      </c>
    </row>
    <row r="6" ht="48" customHeight="1" s="58">
      <c r="A6" s="95" t="n">
        <v>45731</v>
      </c>
      <c r="B6" s="97" t="n">
        <v>21.2</v>
      </c>
      <c r="C6" s="97" t="n">
        <v>24.4</v>
      </c>
      <c r="D6" s="98" t="n">
        <v>3.8</v>
      </c>
      <c r="E6" s="99" t="n">
        <v>41</v>
      </c>
      <c r="F6" s="99" t="n">
        <v>55</v>
      </c>
      <c r="G6" s="96" t="inlineStr">
        <is>
          <t>Gini 0.88 / 31.0</t>
        </is>
      </c>
      <c r="H6" s="97" t="n">
        <v>31</v>
      </c>
      <c r="I6" s="100" t="inlineStr">
        <is>
          <t>2024:Q4</t>
        </is>
      </c>
      <c r="J6" s="95" t="n">
        <v>46191</v>
      </c>
      <c r="K6" s="100" t="inlineStr">
        <is>
          <t>WFRBST01134</t>
        </is>
      </c>
      <c r="L6" s="96" t="inlineStr">
        <is>
          <t>Elastic broad-money creation in the fiat layer still enables discretionary liquidity injections.</t>
        </is>
      </c>
      <c r="M6" s="96" t="inlineStr">
        <is>
          <t>Fed DFA Mar 2025; DeFiLlama Mar 2025</t>
        </is>
      </c>
    </row>
    <row r="7" ht="48" customHeight="1" s="58">
      <c r="A7" s="95" t="n">
        <v>45823</v>
      </c>
      <c r="B7" s="97" t="n">
        <v>21.5</v>
      </c>
      <c r="C7" s="97" t="n">
        <v>23.8</v>
      </c>
      <c r="D7" s="98" t="n">
        <v>3.7</v>
      </c>
      <c r="E7" s="99" t="n">
        <v>47</v>
      </c>
      <c r="F7" s="99" t="n">
        <v>58</v>
      </c>
      <c r="G7" s="96" t="inlineStr">
        <is>
          <t>Gini 0.87 / 30.9</t>
        </is>
      </c>
      <c r="H7" s="97" t="n">
        <v>30.9</v>
      </c>
      <c r="I7" s="100" t="inlineStr">
        <is>
          <t>2025:Q1</t>
        </is>
      </c>
      <c r="J7" s="95" t="n">
        <v>46191</v>
      </c>
      <c r="K7" s="100" t="inlineStr">
        <is>
          <t>WFRBST01134</t>
        </is>
      </c>
      <c r="L7" s="96" t="inlineStr">
        <is>
          <t>Fiat multipliers continue to operate through ongoing credit expansion and forward guidance; Bitcoin protocol ceiling renders them structurally inoperable.</t>
        </is>
      </c>
      <c r="M7" s="96" t="inlineStr">
        <is>
          <t>Fed DFA Jun 2025; DeFiLlama Jun 2025</t>
        </is>
      </c>
    </row>
    <row r="8" ht="48" customHeight="1" s="58">
      <c r="A8" s="95" t="n">
        <v>45915</v>
      </c>
      <c r="B8" s="97" t="n">
        <v>21.8</v>
      </c>
      <c r="C8" s="97" t="n">
        <v>23.1</v>
      </c>
      <c r="D8" s="98" t="n">
        <v>3.6</v>
      </c>
      <c r="E8" s="99" t="n">
        <v>54</v>
      </c>
      <c r="F8" s="99" t="n">
        <v>61</v>
      </c>
      <c r="G8" s="96" t="inlineStr">
        <is>
          <t>Gini 0.87 / 31.2</t>
        </is>
      </c>
      <c r="H8" s="97" t="n">
        <v>31.2</v>
      </c>
      <c r="I8" s="100" t="inlineStr">
        <is>
          <t>2025:Q2</t>
        </is>
      </c>
      <c r="J8" s="95" t="n">
        <v>46191</v>
      </c>
      <c r="K8" s="100" t="inlineStr">
        <is>
          <t>WFRBST01134</t>
        </is>
      </c>
      <c r="L8" s="96" t="inlineStr">
        <is>
          <t>Multiplier effects remain fully functional in fiat systems while Bitcoin’s immutable issuance schedule eliminates the very channel through which Keynesian demand-management tools have historically transmitted.</t>
        </is>
      </c>
      <c r="M8" s="96" t="inlineStr">
        <is>
          <t>Fed H.6 Sep 2025; Glassnode Sep 2025</t>
        </is>
      </c>
    </row>
    <row r="9" ht="48" customHeight="1" s="58">
      <c r="A9" s="95" t="n">
        <v>46006</v>
      </c>
      <c r="B9" s="97" t="n">
        <v>22.1</v>
      </c>
      <c r="C9" s="97" t="n">
        <v>22.3</v>
      </c>
      <c r="D9" s="101" t="inlineStr">
        <is>
          <t>3.5 (elastic)</t>
        </is>
      </c>
      <c r="E9" s="99" t="n">
        <v>61</v>
      </c>
      <c r="F9" s="99" t="n">
        <v>64</v>
      </c>
      <c r="G9" s="96" t="inlineStr">
        <is>
          <t>Gini 0.86 / Top 1 % 31.6</t>
        </is>
      </c>
      <c r="H9" s="97" t="n">
        <v>31.6</v>
      </c>
      <c r="I9" s="100" t="inlineStr">
        <is>
          <t>2025:Q3</t>
        </is>
      </c>
      <c r="J9" s="95" t="n">
        <v>46191</v>
      </c>
      <c r="K9" s="100" t="inlineStr">
        <is>
          <t>WFRBST01134</t>
        </is>
      </c>
      <c r="L9" s="96" t="inlineStr">
        <is>
          <t>Elastic broad-money creation in the fiat layer still enables discretionary liquidity injections; on-chain Bitcoin lending volumes expand solely under full-reserve constraints, confirming the structural ceiling.</t>
        </is>
      </c>
      <c r="M9" s="96" t="inlineStr">
        <is>
          <t>Fed DFA Dec 2025; DeFiLlama Dec 2025 snapshot.</t>
        </is>
      </c>
    </row>
    <row r="10" ht="48" customHeight="1" s="58">
      <c r="A10" s="95" t="n">
        <v>46096</v>
      </c>
      <c r="B10" s="97" t="n">
        <v>22.65</v>
      </c>
      <c r="C10" s="97" t="n">
        <v>22.1</v>
      </c>
      <c r="D10" s="101" t="inlineStr">
        <is>
          <t>3.4 (elastic)</t>
        </is>
      </c>
      <c r="E10" s="99" t="n">
        <v>78</v>
      </c>
      <c r="F10" s="99" t="n">
        <v>69</v>
      </c>
      <c r="G10" s="96" t="inlineStr">
        <is>
          <t>Gini 0.86 / Top 1 % 31.8</t>
        </is>
      </c>
      <c r="H10" s="97" t="n">
        <v>31.8</v>
      </c>
      <c r="I10" s="100" t="inlineStr">
        <is>
          <t>2025:Q4</t>
        </is>
      </c>
      <c r="J10" s="95" t="n">
        <v>46191</v>
      </c>
      <c r="K10" s="100" t="inlineStr">
        <is>
          <t>WFRBST01134</t>
        </is>
      </c>
      <c r="L10" s="96" t="inlineStr">
        <is>
          <t>Fiat multipliers continue to operate through ongoing credit expansion and forward guidance; Bitcoin’s bearer-asset design and fixed supply cap prevent any protocol-level amplification of liquidity preference shifts.</t>
        </is>
      </c>
      <c r="M10" s="96" t="inlineStr">
        <is>
          <t>Fed DFA Dec 2025; DeFiLlama Dec 2025 snapshot.</t>
        </is>
      </c>
    </row>
    <row r="11" ht="48" customHeight="1" s="58">
      <c r="A11" s="102" t="inlineStr">
        <is>
          <t>2026-06-15</t>
        </is>
      </c>
      <c r="B11" s="97" t="n">
        <v>22.8</v>
      </c>
      <c r="C11" s="97" t="n">
        <v>21.8</v>
      </c>
      <c r="D11" s="101" t="inlineStr">
        <is>
          <t>3.3 (elastic)</t>
        </is>
      </c>
      <c r="E11" s="99" t="n">
        <v>85</v>
      </c>
      <c r="F11" s="99" t="n">
        <v>71</v>
      </c>
      <c r="G11" s="96" t="inlineStr">
        <is>
          <t>Gini 0.86 / Top 1 % 31.6</t>
        </is>
      </c>
      <c r="H11" s="97" t="n">
        <v>31.6</v>
      </c>
      <c r="I11" s="100" t="inlineStr">
        <is>
          <t>2026:Q1</t>
        </is>
      </c>
      <c r="J11" s="95" t="n">
        <v>46191</v>
      </c>
      <c r="K11" s="100" t="inlineStr">
        <is>
          <t>WFRBST01134</t>
        </is>
      </c>
      <c r="L11" s="96" t="inlineStr">
        <is>
          <t>Fiat multipliers continue to operate through ongoing credit expansion and forward guidance; Bitcoin’s bearer-asset design and fixed supply cap prevent any protocol-level amplification of liquidity preference shifts, with on-chain volumes confirming full-reserve discipline.</t>
        </is>
      </c>
      <c r="M11" s="96" t="inlineStr">
        <is>
          <t>Fed DFA June 2026; Glassnode Q2 2026; DeFiLlama June 2026 snapshot.</t>
        </is>
      </c>
    </row>
    <row r="12" ht="12.75" customHeight="1" s="58">
      <c r="A12" s="10" t="n"/>
      <c r="B12" s="5" t="n"/>
      <c r="C12" s="5" t="n"/>
      <c r="D12" s="5" t="n"/>
      <c r="E12" s="5" t="n"/>
      <c r="F12" s="5" t="n"/>
      <c r="G12" s="5" t="n"/>
      <c r="L12" s="5" t="n"/>
      <c r="M12" s="5" t="n"/>
    </row>
    <row r="13" ht="12.75" customHeight="1" s="58">
      <c r="A13" s="11" t="n"/>
      <c r="B13" s="74" t="n"/>
      <c r="C13" s="74" t="n"/>
      <c r="D13" s="74" t="n"/>
      <c r="E13" s="74" t="n"/>
      <c r="F13" s="74" t="n"/>
      <c r="G13" s="74" t="n"/>
      <c r="L13" s="74" t="n"/>
      <c r="M13" s="74" t="n"/>
    </row>
    <row r="14" ht="12.75" customHeight="1" s="58">
      <c r="A14" s="11" t="n"/>
      <c r="B14" s="74" t="n"/>
      <c r="C14" s="74" t="n"/>
      <c r="D14" s="74" t="n"/>
      <c r="E14" s="74" t="n"/>
      <c r="F14" s="74" t="n"/>
      <c r="G14" s="74" t="n"/>
      <c r="L14" s="74" t="n"/>
      <c r="M14" s="74" t="n"/>
    </row>
    <row r="15" ht="12.75" customHeight="1" s="58">
      <c r="A15" s="11" t="n"/>
      <c r="B15" s="74" t="n"/>
      <c r="C15" s="74" t="n"/>
      <c r="D15" s="74" t="n"/>
      <c r="E15" s="74" t="n"/>
      <c r="F15" s="74" t="n"/>
      <c r="G15" s="74" t="n"/>
      <c r="L15" s="74" t="n"/>
      <c r="M15" s="74" t="n"/>
    </row>
    <row r="16" ht="12.75" customHeight="1" s="58">
      <c r="A16" s="11" t="n"/>
      <c r="B16" s="74" t="n"/>
      <c r="C16" s="74" t="n"/>
      <c r="D16" s="74" t="n"/>
      <c r="E16" s="74" t="n"/>
      <c r="F16" s="74" t="n"/>
      <c r="G16" s="74" t="n"/>
      <c r="L16" s="74" t="n"/>
      <c r="M16" s="74" t="n"/>
    </row>
    <row r="17" ht="12.75" customHeight="1" s="58">
      <c r="A17" s="11" t="n"/>
      <c r="B17" s="74" t="n"/>
      <c r="C17" s="74" t="n"/>
      <c r="D17" s="74" t="n"/>
      <c r="E17" s="74" t="n"/>
      <c r="F17" s="74" t="n"/>
      <c r="G17" s="74" t="n"/>
      <c r="L17" s="74" t="n"/>
      <c r="M17" s="74" t="n"/>
    </row>
    <row r="18" ht="12.75" customHeight="1" s="58">
      <c r="A18" s="11" t="n"/>
      <c r="B18" s="74" t="n"/>
      <c r="C18" s="74" t="n"/>
      <c r="D18" s="74" t="n"/>
      <c r="E18" s="74" t="n"/>
      <c r="F18" s="74" t="n"/>
      <c r="G18" s="74" t="n"/>
      <c r="L18" s="74" t="n"/>
      <c r="M18" s="74" t="n"/>
    </row>
    <row r="19" ht="12.75" customHeight="1" s="58">
      <c r="A19" s="11" t="n"/>
      <c r="B19" s="74" t="n"/>
      <c r="C19" s="74" t="n"/>
      <c r="D19" s="74" t="n"/>
      <c r="E19" s="74" t="n"/>
      <c r="F19" s="74" t="n"/>
      <c r="G19" s="74" t="n"/>
      <c r="L19" s="74" t="n"/>
      <c r="M19" s="74" t="n"/>
    </row>
    <row r="20" ht="12.75" customHeight="1" s="58">
      <c r="A20" s="11" t="n"/>
      <c r="B20" s="74" t="n"/>
      <c r="C20" s="74" t="n"/>
      <c r="D20" s="74" t="n"/>
      <c r="E20" s="74" t="n"/>
      <c r="F20" s="74" t="n"/>
      <c r="G20" s="74" t="n"/>
      <c r="L20" s="74" t="n"/>
      <c r="M20" s="74" t="n"/>
    </row>
    <row r="21" ht="12.75" customHeight="1" s="58">
      <c r="A21" s="11" t="n"/>
      <c r="B21" s="74" t="n"/>
      <c r="C21" s="74" t="n"/>
      <c r="D21" s="74" t="n"/>
      <c r="E21" s="74" t="n"/>
      <c r="F21" s="74" t="n"/>
      <c r="G21" s="74" t="n"/>
      <c r="L21" s="74" t="n"/>
      <c r="M21" s="74" t="n"/>
    </row>
    <row r="22" ht="12.75" customHeight="1" s="58">
      <c r="A22" s="11" t="n"/>
      <c r="B22" s="74" t="n"/>
      <c r="C22" s="74" t="n"/>
      <c r="D22" s="74" t="n"/>
      <c r="E22" s="74" t="n"/>
      <c r="F22" s="74" t="n"/>
      <c r="G22" s="74" t="n"/>
      <c r="L22" s="74" t="n"/>
      <c r="M22" s="74" t="n"/>
    </row>
    <row r="23" ht="12.75" customHeight="1" s="58">
      <c r="A23" s="11" t="n"/>
      <c r="B23" s="74" t="n"/>
      <c r="C23" s="74" t="n"/>
      <c r="D23" s="74" t="n"/>
      <c r="E23" s="74" t="n"/>
      <c r="F23" s="74" t="n"/>
      <c r="G23" s="74" t="n"/>
      <c r="L23" s="74" t="n"/>
      <c r="M23" s="74" t="n"/>
    </row>
    <row r="24" ht="15.75" customHeight="1" s="58">
      <c r="A24" s="15" t="n"/>
    </row>
    <row r="25" ht="15.75" customHeight="1" s="58">
      <c r="A25" s="15" t="n"/>
    </row>
    <row r="26" ht="15.75" customHeight="1" s="58">
      <c r="A26" s="15" t="n"/>
    </row>
    <row r="27" ht="15.75" customHeight="1" s="58">
      <c r="A27" s="15" t="n"/>
    </row>
    <row r="28" ht="15.75" customHeight="1" s="58">
      <c r="A28" s="15" t="n"/>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G10"/>
  <sheetViews>
    <sheetView showGridLines="1" topLeftCell="A4" workbookViewId="0">
      <pane ySplit="1" topLeftCell="A2" activePane="bottomLeft" state="frozen"/>
      <selection pane="bottomLeft" activeCell="C6" sqref="C6"/>
    </sheetView>
  </sheetViews>
  <sheetFormatPr baseColWidth="8" defaultColWidth="12.5703125" defaultRowHeight="15.75" customHeight="1"/>
  <cols>
    <col width="13" customWidth="1" style="58" min="1" max="7"/>
    <col width="32" customWidth="1" style="58" min="2" max="2"/>
    <col width="40" customWidth="1" style="58" min="3" max="3"/>
    <col width="40" customWidth="1" style="58" min="4" max="4"/>
    <col width="36" customWidth="1" style="58" min="5" max="5"/>
    <col width="36" customWidth="1" style="58" min="6" max="6"/>
    <col width="36" customWidth="1" style="58" min="7" max="7"/>
  </cols>
  <sheetData>
    <row r="1" ht="32" customHeight="1" s="58">
      <c r="A1" s="94" t="inlineStr">
        <is>
          <t>Date</t>
        </is>
      </c>
      <c r="B1" s="94" t="inlineStr">
        <is>
          <t>Episode</t>
        </is>
      </c>
      <c r="C1" s="94" t="inlineStr">
        <is>
          <t>Observed Wealth Redistribution</t>
        </is>
      </c>
      <c r="D1" s="94" t="inlineStr">
        <is>
          <t>Discretionary Policy Efficacy Post-Stabilization</t>
        </is>
      </c>
      <c r="E1" s="94" t="inlineStr">
        <is>
          <t>Trilogy Prediction Match</t>
        </is>
      </c>
      <c r="F1" s="94" t="inlineStr">
        <is>
          <t>Updated Insight</t>
        </is>
      </c>
      <c r="G1" s="94" t="inlineStr">
        <is>
          <t>Source Citation</t>
        </is>
      </c>
    </row>
    <row r="2" ht="70" customHeight="1" s="58">
      <c r="A2" s="95" t="n">
        <v>46096</v>
      </c>
      <c r="B2" s="96" t="inlineStr">
        <is>
          <t>German Rentenmark stabilization (1923)</t>
        </is>
      </c>
      <c r="C2" s="96" t="inlineStr">
        <is>
          <t>Middle-class savers and fixed-income holders lost nearly all purchasing power; debtors and early asset holders gained.</t>
        </is>
      </c>
      <c r="D2" s="96" t="inlineStr">
        <is>
          <t>Discretionary printing ended abruptly; new indexed currency restored stability but required complete abandonment of prior monetary tools.</t>
        </is>
      </c>
      <c r="E2" s="96" t="inlineStr">
        <is>
          <t>Full match: hard-money reset neutralized discretionary demand management.</t>
        </is>
      </c>
      <c r="F2" s="96" t="inlineStr">
        <is>
          <t>Transitional pain evident but directional support for protocol-level inoperability.</t>
        </is>
      </c>
      <c r="G2" s="96" t="inlineStr">
        <is>
          <t>Bresciani-Turroni (1937); Pfleiderer (1979); capstone Section 3.</t>
        </is>
      </c>
    </row>
    <row r="3" ht="70" customHeight="1" s="58">
      <c r="A3" s="95" t="n">
        <v>46096</v>
      </c>
      <c r="B3" s="96" t="inlineStr">
        <is>
          <t>Hungarian pengő → forint (1946)</t>
        </is>
      </c>
      <c r="C3" s="96" t="inlineStr">
        <is>
          <t>Hyperinflation erased middle-class wealth; capital levies and new currency redistributed holdings.</t>
        </is>
      </c>
      <c r="D3" s="96" t="inlineStr">
        <is>
          <t>Tax-pengő experiment and final reset eliminated central-bank flexibility.</t>
        </is>
      </c>
      <c r="E3" s="96" t="inlineStr">
        <is>
          <t>Full match: stabilization required loss of Keynesian transmission channels.</t>
        </is>
      </c>
      <c r="F3" s="96" t="inlineStr">
        <is>
          <t>Consistent with neutralization; hybrid pain persists in transition.</t>
        </is>
      </c>
      <c r="G3" s="96" t="inlineStr">
        <is>
          <t>Capstone historical context; post-war monetary studies.</t>
        </is>
      </c>
    </row>
    <row r="4" ht="70" customHeight="1" s="58">
      <c r="A4" s="95" t="n">
        <v>46096</v>
      </c>
      <c r="B4" s="96" t="inlineStr">
        <is>
          <t>Ecuador dollarization (2000)</t>
        </is>
      </c>
      <c r="C4" s="96" t="inlineStr">
        <is>
          <t>Initial poverty spike (56 % → 69 %) followed by modest bottom-20 % gains over time; asset-rich retained advantage during reset.</t>
        </is>
      </c>
      <c r="D4" s="96" t="inlineStr">
        <is>
          <t>Independent monetary policy and discretionary stimulus eliminated.</t>
        </is>
      </c>
      <c r="E4" s="96" t="inlineStr">
        <is>
          <t>Partial-to-full match: loss of tools produced convergence but with transitional costs.</t>
        </is>
      </c>
      <c r="F4" s="96" t="inlineStr">
        <is>
          <t>Supports trilogy prediction under hard-currency regime.</t>
        </is>
      </c>
      <c r="G4" s="96" t="inlineStr">
        <is>
          <t>World Bank/ECLAC reports; capstone Section 3.</t>
        </is>
      </c>
    </row>
    <row r="5" ht="70" customHeight="1" s="58">
      <c r="A5" s="95" t="n">
        <v>46096</v>
      </c>
      <c r="B5" s="96" t="inlineStr">
        <is>
          <t>Classical gold standard (pre-1914)</t>
        </is>
      </c>
      <c r="C5" s="96" t="inlineStr">
        <is>
          <t>Wealth distribution remained stable relative to later fiat eras; no engineered K-shape.</t>
        </is>
      </c>
      <c r="D5" s="96" t="inlineStr">
        <is>
          <t>Discretionary stimulus impossible; central banks (where present) operated under strict reserve discipline.</t>
        </is>
      </c>
      <c r="E5" s="96" t="inlineStr">
        <is>
          <t>Full match: sound-money constraints prevented Keynesian multipliers and liquidity preference manipulation.</t>
        </is>
      </c>
      <c r="F5" s="96" t="inlineStr">
        <is>
          <t>Strongest historical confirmation of structural obsolescence.</t>
        </is>
      </c>
      <c r="G5" s="96" t="inlineStr">
        <is>
          <t>Hayek (1976); Mises (1949); pre-WWI monetary histories.</t>
        </is>
      </c>
    </row>
    <row r="6" ht="70" customHeight="1" s="58">
      <c r="A6" s="95" t="n">
        <v>46188</v>
      </c>
      <c r="B6" s="96" t="inlineStr">
        <is>
          <t>Q2 2026 Protocol Review</t>
        </is>
      </c>
      <c r="C6" s="96" t="inlineStr">
        <is>
          <t>No new historical episodes introduced; prior cases (Rentenmark, pengő-forint, Ecuador dollarization, classical gold standard) continue to demonstrate abrupt loss of discretionary tools upon hard-money stabilization.</t>
        </is>
      </c>
      <c r="D6" s="96" t="inlineStr">
        <is>
          <t>Consistent with prior observations; no discretionary stimulus transmission possible under protocol-constrained or historically stabilized hard-money regimes.</t>
        </is>
      </c>
      <c r="E6" s="96" t="inlineStr">
        <is>
          <t>Full alignment maintained across all reviewed episodes.</t>
        </is>
      </c>
      <c r="F6" s="96" t="inlineStr">
        <is>
          <t>The transitional phase persists without introducing contradictions to the capstone’s structural obsolescence thesis; hybrid regimes continue to exhibit the anticipated frictions.</t>
        </is>
      </c>
      <c r="G6" s="96" t="inlineStr">
        <is>
          <t>Capstone Section 3 historical context; prior baselines reaffirmed through Q2 2026 review.</t>
        </is>
      </c>
    </row>
    <row r="7" ht="15.75" customHeight="1" s="58">
      <c r="A7" s="37" t="n"/>
      <c r="B7" s="37" t="n"/>
      <c r="C7" s="37" t="n"/>
      <c r="D7" s="37" t="n"/>
      <c r="E7" s="37" t="n"/>
      <c r="F7" s="37" t="n"/>
      <c r="G7" s="37" t="n"/>
    </row>
    <row r="8" ht="15.75" customHeight="1" s="58">
      <c r="A8" s="37" t="n"/>
      <c r="B8" s="37" t="n"/>
      <c r="C8" s="37" t="n"/>
      <c r="D8" s="37" t="n"/>
      <c r="E8" s="37" t="n"/>
      <c r="F8" s="37" t="n"/>
      <c r="G8" s="37" t="n"/>
    </row>
    <row r="9" ht="15.75" customHeight="1" s="58">
      <c r="A9" s="37" t="n"/>
      <c r="B9" s="37" t="n"/>
      <c r="C9" s="37" t="n"/>
      <c r="D9" s="37" t="n"/>
      <c r="E9" s="37" t="n"/>
      <c r="F9" s="37" t="n"/>
      <c r="G9" s="37" t="n"/>
    </row>
    <row r="10" ht="15.75" customHeight="1" s="58">
      <c r="A10" s="37" t="n"/>
      <c r="B10" s="37" t="n"/>
      <c r="C10" s="37" t="n"/>
      <c r="D10" s="37" t="n"/>
      <c r="E10" s="37" t="n"/>
      <c r="F10" s="37" t="n"/>
      <c r="G10" s="37"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J23"/>
  <sheetViews>
    <sheetView showGridLines="1" workbookViewId="0">
      <pane ySplit="1" topLeftCell="A2" activePane="bottomLeft" state="frozen"/>
      <selection pane="bottomLeft" activeCell="A11" sqref="A11:XFD11"/>
    </sheetView>
  </sheetViews>
  <sheetFormatPr baseColWidth="8" defaultColWidth="12.5703125" defaultRowHeight="15.75" customHeight="1"/>
  <cols>
    <col width="13" customWidth="1" style="58" min="1" max="1"/>
    <col width="36" customWidth="1" style="58" min="2" max="2"/>
    <col width="16" customWidth="1" style="58" min="3" max="3"/>
    <col width="16" customWidth="1" style="58" min="4" max="4"/>
    <col width="36" customWidth="1" style="58" min="5" max="5"/>
    <col width="18" customWidth="1" style="58" min="6" max="6"/>
    <col width="36" customWidth="1" style="58" min="7" max="7"/>
    <col width="12" customWidth="1" style="58" min="8" max="8"/>
    <col width="14" customWidth="1" style="58" min="9" max="9"/>
    <col width="14" customWidth="1" style="58" min="10" max="10"/>
  </cols>
  <sheetData>
    <row r="1" ht="32" customHeight="1" s="58">
      <c r="A1" s="94" t="inlineStr">
        <is>
          <t>Date</t>
        </is>
      </c>
      <c r="B1" s="94" t="inlineStr">
        <is>
          <t>Global BTC Adoption (est. owners or % of population)</t>
        </is>
      </c>
      <c r="C1" s="94" t="inlineStr">
        <is>
          <t>Self-Custody Ratio (%)</t>
        </is>
      </c>
      <c r="D1" s="94" t="inlineStr">
        <is>
          <t>Top 1 % Wealth Share (%)</t>
        </is>
      </c>
      <c r="E1" s="94" t="inlineStr">
        <is>
          <t>K-Divergence Proxy (asset vs. wage income growth gap)</t>
        </is>
      </c>
      <c r="F1" s="94" t="inlineStr">
        <is>
          <t>Realignment Cycle Strength (qualitative 1–10)</t>
        </is>
      </c>
      <c r="G1" s="94" t="inlineStr">
        <is>
          <t>Notes</t>
        </is>
      </c>
      <c r="H1" s="94" t="inlineStr">
        <is>
          <t>DFA quarter</t>
        </is>
      </c>
      <c r="I1" s="94" t="inlineStr">
        <is>
          <t>DFA release date</t>
        </is>
      </c>
      <c r="J1" s="94" t="inlineStr">
        <is>
          <t>DFA series</t>
        </is>
      </c>
    </row>
    <row r="2" ht="36" customHeight="1" s="58">
      <c r="A2" s="95" t="n">
        <v>45366</v>
      </c>
      <c r="B2" s="96" t="inlineStr">
        <is>
          <t>~420 million (~5.3 % global)</t>
        </is>
      </c>
      <c r="C2" s="99" t="n">
        <v>35</v>
      </c>
      <c r="D2" s="97" t="n">
        <v>30.3</v>
      </c>
      <c r="E2" s="96" t="inlineStr">
        <is>
          <t>Asset income growth outpaces wage by 5.6 %</t>
        </is>
      </c>
      <c r="F2" s="100" t="n">
        <v>2</v>
      </c>
      <c r="G2" s="96" t="inlineStr">
        <is>
          <t>Early post-ETF phase</t>
        </is>
      </c>
      <c r="H2" s="100" t="inlineStr">
        <is>
          <t>2023:Q4</t>
        </is>
      </c>
      <c r="I2" s="95" t="n">
        <v>46191</v>
      </c>
      <c r="J2" s="100" t="inlineStr">
        <is>
          <t>WFRBST01134</t>
        </is>
      </c>
    </row>
    <row r="3" ht="36" customHeight="1" s="58">
      <c r="A3" s="95" t="n">
        <v>45458</v>
      </c>
      <c r="B3" s="96" t="inlineStr">
        <is>
          <t>~460 million (~5.8 % global)</t>
        </is>
      </c>
      <c r="C3" s="99" t="n">
        <v>36</v>
      </c>
      <c r="D3" s="97" t="n">
        <v>30.6</v>
      </c>
      <c r="E3" s="96" t="inlineStr">
        <is>
          <t>Asset income growth outpaces wage by 5.4 %</t>
        </is>
      </c>
      <c r="F3" s="100" t="n">
        <v>3</v>
      </c>
      <c r="G3" s="96" t="inlineStr">
        <is>
          <t>Transitional hybrid regime</t>
        </is>
      </c>
      <c r="H3" s="100" t="inlineStr">
        <is>
          <t>2024:Q1</t>
        </is>
      </c>
      <c r="I3" s="95" t="n">
        <v>46191</v>
      </c>
      <c r="J3" s="100" t="inlineStr">
        <is>
          <t>WFRBST01134</t>
        </is>
      </c>
    </row>
    <row r="4" ht="36" customHeight="1" s="58">
      <c r="A4" s="95" t="n">
        <v>45550</v>
      </c>
      <c r="B4" s="96" t="inlineStr">
        <is>
          <t>~490 million (~6.2 % global)</t>
        </is>
      </c>
      <c r="C4" s="99" t="n">
        <v>37</v>
      </c>
      <c r="D4" s="97" t="n">
        <v>30.5</v>
      </c>
      <c r="E4" s="96" t="inlineStr">
        <is>
          <t>Asset income growth outpaces wage by 5.2 %</t>
        </is>
      </c>
      <c r="F4" s="100" t="n">
        <v>3</v>
      </c>
      <c r="G4" s="96" t="inlineStr">
        <is>
          <t>Transitional hybrid regime</t>
        </is>
      </c>
      <c r="H4" s="100" t="inlineStr">
        <is>
          <t>2024:Q2</t>
        </is>
      </c>
      <c r="I4" s="95" t="n">
        <v>46191</v>
      </c>
      <c r="J4" s="100" t="inlineStr">
        <is>
          <t>WFRBST01134</t>
        </is>
      </c>
    </row>
    <row r="5" ht="36" customHeight="1" s="58">
      <c r="A5" s="95" t="n">
        <v>45641</v>
      </c>
      <c r="B5" s="96" t="inlineStr">
        <is>
          <t>~520 million (~6.6 % global)</t>
        </is>
      </c>
      <c r="C5" s="99" t="n">
        <v>39</v>
      </c>
      <c r="D5" s="97" t="n">
        <v>30.9</v>
      </c>
      <c r="E5" s="96" t="inlineStr">
        <is>
          <t>Asset income growth outpaces wage by 5.0 %</t>
        </is>
      </c>
      <c r="F5" s="100" t="n">
        <v>3</v>
      </c>
      <c r="G5" s="96" t="inlineStr">
        <is>
          <t>ETF inflows driving early convergence</t>
        </is>
      </c>
      <c r="H5" s="100" t="inlineStr">
        <is>
          <t>2024:Q3</t>
        </is>
      </c>
      <c r="I5" s="95" t="n">
        <v>46191</v>
      </c>
      <c r="J5" s="100" t="inlineStr">
        <is>
          <t>WFRBST01134</t>
        </is>
      </c>
    </row>
    <row r="6" ht="36" customHeight="1" s="58">
      <c r="A6" s="95" t="n">
        <v>45731</v>
      </c>
      <c r="B6" s="96" t="inlineStr">
        <is>
          <t>~550 million (~7.0 % global)</t>
        </is>
      </c>
      <c r="C6" s="99" t="n">
        <v>40</v>
      </c>
      <c r="D6" s="97" t="n">
        <v>31</v>
      </c>
      <c r="E6" s="96" t="inlineStr">
        <is>
          <t>Asset income growth outpaces wage by 4.8 %</t>
        </is>
      </c>
      <c r="F6" s="100" t="n">
        <v>4</v>
      </c>
      <c r="G6" s="96" t="inlineStr">
        <is>
          <t>Early post-ETF phase</t>
        </is>
      </c>
      <c r="H6" s="100" t="inlineStr">
        <is>
          <t>2024:Q4</t>
        </is>
      </c>
      <c r="I6" s="95" t="n">
        <v>46191</v>
      </c>
      <c r="J6" s="100" t="inlineStr">
        <is>
          <t>WFRBST01134</t>
        </is>
      </c>
    </row>
    <row r="7" ht="36" customHeight="1" s="58">
      <c r="A7" s="95" t="n">
        <v>45823</v>
      </c>
      <c r="B7" s="96" t="inlineStr">
        <is>
          <t>~570 million (~7.3 % global)</t>
        </is>
      </c>
      <c r="C7" s="99" t="n">
        <v>41</v>
      </c>
      <c r="D7" s="97" t="n">
        <v>30.9</v>
      </c>
      <c r="E7" s="96" t="inlineStr">
        <is>
          <t>Asset income growth outpaces wage by 4.7 %</t>
        </is>
      </c>
      <c r="F7" s="100" t="n">
        <v>4</v>
      </c>
      <c r="G7" s="96" t="inlineStr">
        <is>
          <t>Adoption accelerating</t>
        </is>
      </c>
      <c r="H7" s="100" t="inlineStr">
        <is>
          <t>2025:Q1</t>
        </is>
      </c>
      <c r="I7" s="95" t="n">
        <v>46191</v>
      </c>
      <c r="J7" s="100" t="inlineStr">
        <is>
          <t>WFRBST01134</t>
        </is>
      </c>
    </row>
    <row r="8" ht="36" customHeight="1" s="58">
      <c r="A8" s="95" t="n">
        <v>45915</v>
      </c>
      <c r="B8" s="96" t="inlineStr">
        <is>
          <t>~590 million (~7.6 % global)</t>
        </is>
      </c>
      <c r="C8" s="99" t="n">
        <v>43</v>
      </c>
      <c r="D8" s="97" t="n">
        <v>31.2</v>
      </c>
      <c r="E8" s="96" t="inlineStr">
        <is>
          <t>Asset income growth outpaces wage by 4.5 %</t>
        </is>
      </c>
      <c r="F8" s="100" t="n">
        <v>4</v>
      </c>
      <c r="G8" s="96" t="inlineStr">
        <is>
          <t>ETF inflows driving early convergence</t>
        </is>
      </c>
      <c r="H8" s="100" t="inlineStr">
        <is>
          <t>2025:Q2</t>
        </is>
      </c>
      <c r="I8" s="95" t="n">
        <v>46191</v>
      </c>
      <c r="J8" s="100" t="inlineStr">
        <is>
          <t>WFRBST01134</t>
        </is>
      </c>
    </row>
    <row r="9" ht="36" customHeight="1" s="58">
      <c r="A9" s="95" t="n">
        <v>46006</v>
      </c>
      <c r="B9" s="96" t="inlineStr">
        <is>
          <t>~610 million (~7.9 % global)</t>
        </is>
      </c>
      <c r="C9" s="99" t="n">
        <v>44</v>
      </c>
      <c r="D9" s="97" t="n">
        <v>31.6</v>
      </c>
      <c r="E9" s="96" t="inlineStr">
        <is>
          <t>Asset income growth outpaces wage by 4.3 %</t>
        </is>
      </c>
      <c r="F9" s="100" t="n">
        <v>4</v>
      </c>
      <c r="G9" s="96" t="inlineStr">
        <is>
          <t>Adoption accelerating</t>
        </is>
      </c>
      <c r="H9" s="100" t="inlineStr">
        <is>
          <t>2025:Q3</t>
        </is>
      </c>
      <c r="I9" s="95" t="n">
        <v>46191</v>
      </c>
      <c r="J9" s="100" t="inlineStr">
        <is>
          <t>WFRBST01134</t>
        </is>
      </c>
    </row>
    <row r="10" ht="36" customHeight="1" s="58">
      <c r="A10" s="95" t="n">
        <v>46096</v>
      </c>
      <c r="B10" s="96" t="inlineStr">
        <is>
          <t>~620 million (~8.4 % global)</t>
        </is>
      </c>
      <c r="C10" s="99" t="n">
        <v>48</v>
      </c>
      <c r="D10" s="97" t="n">
        <v>31.8</v>
      </c>
      <c r="E10" s="96" t="inlineStr">
        <is>
          <t>Asset income growth outpaces wage by 4.2 %</t>
        </is>
      </c>
      <c r="F10" s="100" t="n">
        <v>4</v>
      </c>
      <c r="G10" s="96" t="inlineStr">
        <is>
          <t>Transitional hybrid regime</t>
        </is>
      </c>
      <c r="H10" s="100" t="inlineStr">
        <is>
          <t>2025:Q4</t>
        </is>
      </c>
      <c r="I10" s="95" t="n">
        <v>46191</v>
      </c>
      <c r="J10" s="100" t="inlineStr">
        <is>
          <t>WFRBST01134</t>
        </is>
      </c>
    </row>
    <row r="11" ht="36" customHeight="1" s="58">
      <c r="A11" s="95" t="n">
        <v>46188</v>
      </c>
      <c r="B11" s="96" t="inlineStr">
        <is>
          <t>~650 million (~8.8 % global)</t>
        </is>
      </c>
      <c r="C11" s="99" t="n">
        <v>50</v>
      </c>
      <c r="D11" s="97" t="n">
        <v>31.6</v>
      </c>
      <c r="E11" s="96" t="inlineStr">
        <is>
          <t>Asset income growth outpaces wage by 4.0 %</t>
        </is>
      </c>
      <c r="F11" s="100" t="n">
        <v>4</v>
      </c>
      <c r="G11" s="96" t="inlineStr">
        <is>
          <t>Transitional hybrid regime; ETF maturation and Lightning Network growth supporting gradual convergence signals.</t>
        </is>
      </c>
      <c r="H11" s="100" t="inlineStr">
        <is>
          <t>2026:Q1</t>
        </is>
      </c>
      <c r="I11" s="95" t="n">
        <v>46191</v>
      </c>
      <c r="J11" s="100" t="inlineStr">
        <is>
          <t>WFRBST01134</t>
        </is>
      </c>
    </row>
    <row r="12" ht="12.75" customHeight="1" s="58">
      <c r="A12" s="11" t="n"/>
      <c r="B12" s="74" t="n"/>
      <c r="C12" s="74" t="n"/>
      <c r="D12" s="74" t="n"/>
      <c r="E12" s="74" t="n"/>
      <c r="F12" s="74" t="n"/>
      <c r="G12" s="74" t="n"/>
    </row>
    <row r="13" ht="12.75" customHeight="1" s="58">
      <c r="A13" s="11" t="n"/>
      <c r="B13" s="74" t="n"/>
      <c r="C13" s="74" t="n"/>
      <c r="D13" s="74" t="n"/>
      <c r="E13" s="74" t="n"/>
      <c r="F13" s="74" t="n"/>
      <c r="G13" s="74" t="n"/>
    </row>
    <row r="14" ht="15.75" customHeight="1" s="58">
      <c r="A14" s="18" t="n"/>
      <c r="B14" s="37" t="n"/>
      <c r="C14" s="37" t="n"/>
      <c r="D14" s="37" t="n"/>
      <c r="E14" s="37" t="n"/>
      <c r="F14" s="37" t="n"/>
      <c r="G14" s="37" t="n"/>
    </row>
    <row r="15" ht="15.75" customHeight="1" s="58">
      <c r="A15" s="18" t="n"/>
      <c r="B15" s="37" t="n"/>
      <c r="C15" s="37" t="n"/>
      <c r="D15" s="37" t="n"/>
      <c r="E15" s="37" t="n"/>
      <c r="F15" s="37" t="n"/>
      <c r="G15" s="37" t="n"/>
    </row>
    <row r="16" ht="15.75" customHeight="1" s="58">
      <c r="A16" s="18" t="n"/>
      <c r="B16" s="37" t="n"/>
      <c r="C16" s="37" t="n"/>
      <c r="D16" s="37" t="n"/>
      <c r="E16" s="37" t="n"/>
      <c r="F16" s="37" t="n"/>
      <c r="G16" s="37" t="n"/>
    </row>
    <row r="17" ht="15.75" customHeight="1" s="58">
      <c r="A17" s="18" t="n"/>
      <c r="B17" s="37" t="n"/>
      <c r="C17" s="37" t="n"/>
      <c r="D17" s="37" t="n"/>
      <c r="E17" s="37" t="n"/>
      <c r="F17" s="37" t="n"/>
      <c r="G17" s="37" t="n"/>
    </row>
    <row r="18" ht="15.75" customHeight="1" s="58">
      <c r="A18" s="18" t="n"/>
      <c r="B18" s="37" t="n"/>
      <c r="C18" s="37" t="n"/>
      <c r="D18" s="37" t="n"/>
      <c r="E18" s="37" t="n"/>
      <c r="F18" s="37" t="n"/>
      <c r="G18" s="37" t="n"/>
    </row>
    <row r="19" ht="15.75" customHeight="1" s="58">
      <c r="A19" s="18" t="n"/>
      <c r="B19" s="37" t="n"/>
      <c r="C19" s="37" t="n"/>
      <c r="D19" s="37" t="n"/>
      <c r="E19" s="37" t="n"/>
      <c r="F19" s="37" t="n"/>
      <c r="G19" s="37" t="n"/>
    </row>
    <row r="20" ht="15.75" customHeight="1" s="58">
      <c r="A20" s="18" t="n"/>
      <c r="B20" s="37" t="n"/>
      <c r="C20" s="37" t="n"/>
      <c r="D20" s="37" t="n"/>
      <c r="E20" s="37" t="n"/>
      <c r="F20" s="37" t="n"/>
      <c r="G20" s="37" t="n"/>
    </row>
    <row r="21" ht="15.75" customHeight="1" s="58">
      <c r="A21" s="18" t="n"/>
      <c r="B21" s="37" t="n"/>
      <c r="C21" s="37" t="n"/>
      <c r="D21" s="37" t="n"/>
      <c r="E21" s="37" t="n"/>
      <c r="F21" s="37" t="n"/>
      <c r="G21" s="37" t="n"/>
    </row>
    <row r="22" ht="15.75" customHeight="1" s="58">
      <c r="A22" s="18" t="n"/>
      <c r="B22" s="37" t="n"/>
      <c r="C22" s="37" t="n"/>
      <c r="D22" s="37" t="n"/>
      <c r="E22" s="37" t="n"/>
      <c r="F22" s="37" t="n"/>
      <c r="G22" s="37" t="n"/>
    </row>
    <row r="23" ht="15.75" customHeight="1" s="58">
      <c r="A23" s="37" t="n"/>
      <c r="B23" s="37" t="n"/>
      <c r="C23" s="37" t="n"/>
      <c r="D23" s="37" t="n"/>
      <c r="E23" s="37" t="n"/>
      <c r="F23" s="37" t="n"/>
      <c r="G23" s="37"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E15"/>
  <sheetViews>
    <sheetView showGridLines="1" workbookViewId="0">
      <pane ySplit="1" topLeftCell="A2" activePane="bottomLeft" state="frozen"/>
      <selection pane="bottomLeft" activeCell="C2" sqref="C2"/>
    </sheetView>
  </sheetViews>
  <sheetFormatPr baseColWidth="8" defaultColWidth="12.5703125" defaultRowHeight="15.75" customHeight="1"/>
  <cols>
    <col width="28" customWidth="1" style="58" min="1" max="5"/>
    <col width="42" customWidth="1" style="58" min="2" max="2"/>
    <col width="55" customWidth="1" style="58" min="3" max="3"/>
    <col width="28" customWidth="1" style="58" min="4" max="4"/>
    <col width="55" customWidth="1" style="58" min="5" max="5"/>
  </cols>
  <sheetData>
    <row r="1" ht="32" customHeight="1" s="58">
      <c r="A1" s="94" t="inlineStr">
        <is>
          <t>Category</t>
        </is>
      </c>
      <c r="B1" s="94" t="inlineStr">
        <is>
          <t>Resource Name</t>
        </is>
      </c>
      <c r="C1" s="94" t="inlineStr">
        <is>
          <t>Link / Access</t>
        </is>
      </c>
      <c r="D1" s="94" t="inlineStr">
        <is>
          <t>Last Updated</t>
        </is>
      </c>
      <c r="E1" s="94" t="inlineStr">
        <is>
          <t>Notes</t>
        </is>
      </c>
    </row>
    <row r="2" ht="40" customHeight="1" s="58">
      <c r="A2" s="100" t="inlineStr">
        <is>
          <t>Federal Reserve Data</t>
        </is>
      </c>
      <c r="B2" s="96" t="inlineStr">
        <is>
          <t>Distributional Financial Accounts (DFA)</t>
        </is>
      </c>
      <c r="C2" s="103" t="inlineStr">
        <is>
          <t>https://www.federalreserve.gov/releases/efa/efa-distributional-financial-accounts.htm</t>
        </is>
      </c>
      <c r="D2" s="100" t="inlineStr">
        <is>
          <t>18 June 2026 (2026:Q1)</t>
        </is>
      </c>
      <c r="E2" s="96" t="inlineStr">
        <is>
          <t>Primary source for official DFA top-1 % net-worth share (WFRBST01134). Gini is NOT a DFA field.</t>
        </is>
      </c>
    </row>
    <row r="3" ht="40" customHeight="1" s="58">
      <c r="A3" s="100" t="inlineStr">
        <is>
          <t>Federal Reserve Data</t>
        </is>
      </c>
      <c r="B3" s="96" t="inlineStr">
        <is>
          <t>FRED M2SL &amp; Monetary Base</t>
        </is>
      </c>
      <c r="C3" s="103" t="inlineStr">
        <is>
          <t>https://fred.stlouisfed.org/series/M2SL</t>
        </is>
      </c>
      <c r="D3" s="100" t="inlineStr">
        <is>
          <t>24 Aug 2026</t>
        </is>
      </c>
      <c r="E3" s="96" t="inlineStr">
        <is>
          <t>FRED M2SL for US M2. FRED MULT (M1 money multiplier) is discontinued (last observation 2019-12-04). See BOGMBASE row and Methods for a future M2SL/BOGMBASE option. Workbook M2 values were not changed in this draft.</t>
        </is>
      </c>
    </row>
    <row r="4" ht="40" customHeight="1" s="58">
      <c r="A4" s="100" t="inlineStr">
        <is>
          <t>Bitcoin On-Chain Analytics</t>
        </is>
      </c>
      <c r="B4" s="96" t="inlineStr">
        <is>
          <t>Glassnode Studio (free tier)</t>
        </is>
      </c>
      <c r="C4" s="104" t="inlineStr">
        <is>
          <t>https://studio.glassnode.com/</t>
        </is>
      </c>
      <c r="D4" s="100" t="inlineStr">
        <is>
          <t>Not refreshed 24 Aug 2026 (Studio login required)</t>
        </is>
      </c>
      <c r="E4" s="96" t="inlineStr">
        <is>
          <t>Self-custody ratios, full-reserve lending volumes, and on-chain share; key for Tab 5 sparklines and Tab 3.</t>
        </is>
      </c>
    </row>
    <row r="5" ht="40" customHeight="1" s="58">
      <c r="A5" s="100" t="inlineStr">
        <is>
          <t>Bitcoin On-Chain Analytics</t>
        </is>
      </c>
      <c r="B5" s="96" t="inlineStr">
        <is>
          <t>Chainalysis Global Crypto Adoption Index</t>
        </is>
      </c>
      <c r="C5" s="104" t="inlineStr">
        <is>
          <t>https://www.chainalysis.com/</t>
        </is>
      </c>
      <c r="D5" s="100" t="inlineStr">
        <is>
          <t>2025–2026 edition</t>
        </is>
      </c>
      <c r="E5" s="96" t="inlineStr">
        <is>
          <t>Global BTC adoption estimates and self-custody trends; update for Tab 5.</t>
        </is>
      </c>
    </row>
    <row r="6" ht="40" customHeight="1" s="58">
      <c r="A6" s="100" t="inlineStr">
        <is>
          <t>DeFi &amp; Lending Metrics</t>
        </is>
      </c>
      <c r="B6" s="96" t="inlineStr">
        <is>
          <t>DeFiLlama Lending Dashboard</t>
        </is>
      </c>
      <c r="C6" s="103" t="inlineStr">
        <is>
          <t>https://defillama.com/protocols/lending</t>
        </is>
      </c>
      <c r="D6" s="100" t="inlineStr">
        <is>
          <t>24 August 2026 (free API; not equivalent to Q2 BTC full-reserve volume)</t>
        </is>
      </c>
      <c r="E6" s="96" t="inlineStr">
        <is>
          <t>BTC full-reserve lending volumes and on-chain share; cross-check with Glassnode.</t>
        </is>
      </c>
    </row>
    <row r="7" ht="40" customHeight="1" s="58">
      <c r="A7" s="100" t="inlineStr">
        <is>
          <t>Trilogy References</t>
        </is>
      </c>
      <c r="B7" s="96" t="inlineStr">
        <is>
          <t>SSRN – Structural Obsolescence of Keynesian Monetary Policy</t>
        </is>
      </c>
      <c r="C7" s="104" t="inlineStr">
        <is>
          <t>https://papers.ssrn.com/sol3/papers.cfm?abstract_id=6368619</t>
        </is>
      </c>
      <c r="D7" s="95" t="n">
        <v>46092</v>
      </c>
      <c r="E7" s="96" t="inlineStr">
        <is>
          <t>Capstone preprint; direct link for historical context and Section 6 caveats.</t>
        </is>
      </c>
    </row>
    <row r="8" ht="40" customHeight="1" s="58">
      <c r="A8" s="100" t="inlineStr">
        <is>
          <t>Trilogy References</t>
        </is>
      </c>
      <c r="B8" s="96" t="inlineStr">
        <is>
          <t>Bitcoin Dismantlement Framework</t>
        </is>
      </c>
      <c r="C8" s="104" t="inlineStr">
        <is>
          <t>https://papers.ssrn.com/sol3/papers.cfm?abstract_id=6355099</t>
        </is>
      </c>
      <c r="D8" s="95" t="n">
        <v>46087</v>
      </c>
      <c r="E8" s="96" t="inlineStr">
        <is>
          <t>Immediate predecessor; Section 2 metrics baseline.</t>
        </is>
      </c>
    </row>
    <row r="9" ht="40" customHeight="1" s="58">
      <c r="A9" s="100" t="inlineStr">
        <is>
          <t>Inequality Metrics</t>
        </is>
      </c>
      <c r="B9" s="96" t="inlineStr">
        <is>
          <t>Wealth Gini (non-DFA)</t>
        </is>
      </c>
      <c r="C9" s="96" t="inlineStr">
        <is>
          <t>No named primary series</t>
        </is>
      </c>
      <c r="D9" s="100" t="inlineStr">
        <is>
          <t>Not a DFA field</t>
        </is>
      </c>
      <c r="E9" s="96" t="inlineStr">
        <is>
          <t>Wealth Gini is NOT a DFA field; A.2 Gini retained pending a named primary series</t>
        </is>
      </c>
    </row>
    <row r="10" ht="40" customHeight="1" s="58">
      <c r="A10" s="100" t="inlineStr">
        <is>
          <t>Federal Reserve Data</t>
        </is>
      </c>
      <c r="B10" s="96" t="inlineStr">
        <is>
          <t>FRED WALCL (Fed total assets)</t>
        </is>
      </c>
      <c r="C10" s="104" t="inlineStr">
        <is>
          <t>https://fred.stlouisfed.org/series/WALCL</t>
        </is>
      </c>
      <c r="D10" s="100" t="inlineStr">
        <is>
          <t>24 Aug 2026</t>
        </is>
      </c>
      <c r="E10" s="96" t="inlineStr">
        <is>
          <t>Wednesday series; millions of USD. Component of Fed balance-sheet-to-GDP (see Methods). No official combined WALCL/GDP series exists.</t>
        </is>
      </c>
    </row>
    <row r="11" ht="40" customHeight="1" s="58">
      <c r="A11" s="100" t="inlineStr">
        <is>
          <t>Federal Reserve Data</t>
        </is>
      </c>
      <c r="B11" s="96" t="inlineStr">
        <is>
          <t>FRED GDP (nominal, SAAR)</t>
        </is>
      </c>
      <c r="C11" s="104" t="inlineStr">
        <is>
          <t>https://fred.stlouisfed.org/series/GDP</t>
        </is>
      </c>
      <c r="D11" s="100" t="inlineStr">
        <is>
          <t>24 Aug 2026</t>
        </is>
      </c>
      <c r="E11" s="96" t="inlineStr">
        <is>
          <t>Quarterly nominal GDP, billions of USD, seasonally adjusted annual rate. Pair with WALCL per Methods. Not used to overwrite stored 21.8.</t>
        </is>
      </c>
    </row>
    <row r="12" ht="40" customHeight="1" s="58">
      <c r="A12" s="100" t="inlineStr">
        <is>
          <t>Federal Reserve Data</t>
        </is>
      </c>
      <c r="B12" s="96" t="inlineStr">
        <is>
          <t>FRED BOGMBASE (monetary base)</t>
        </is>
      </c>
      <c r="C12" s="104" t="inlineStr">
        <is>
          <t>https://fred.stlouisfed.org/series/BOGMBASE</t>
        </is>
      </c>
      <c r="D12" s="100" t="inlineStr">
        <is>
          <t>24 Aug 2026</t>
        </is>
      </c>
      <c r="E12" s="96" t="inlineStr">
        <is>
          <t>Monetary base. Candidate denominator if a future multiplier is defined as M2SL / BOGMBASE (see Methods). Not used to overwrite A.2 3.3.</t>
        </is>
      </c>
    </row>
    <row r="13" ht="40" customHeight="1" s="58">
      <c r="A13" s="100" t="inlineStr">
        <is>
          <t>Federal Reserve Data</t>
        </is>
      </c>
      <c r="B13" s="96" t="inlineStr">
        <is>
          <t>FRED WFRBST01134 (DFA top 1% net worth)</t>
        </is>
      </c>
      <c r="C13" s="104" t="inlineStr">
        <is>
          <t>https://fred.stlouisfed.org/series/WFRBST01134</t>
        </is>
      </c>
      <c r="D13" s="100" t="inlineStr">
        <is>
          <t>24 Aug 2026</t>
        </is>
      </c>
      <c r="E13" s="96" t="inlineStr">
        <is>
          <t>Share of Net Worth Held by the Top 1% (Fed DFA). Official series for A.2 H–K and A.4 D. Vintage in this draft: release 2026-06-18 covering through 2026:Q1. Gini is not a DFA field.</t>
        </is>
      </c>
    </row>
    <row r="14" ht="15.75" customHeight="1" s="58">
      <c r="A14" s="37" t="n"/>
      <c r="B14" s="37" t="n"/>
      <c r="C14" s="37" t="n"/>
      <c r="D14" s="37" t="n"/>
      <c r="E14" s="37" t="n"/>
    </row>
    <row r="15" ht="15.75" customHeight="1" s="58">
      <c r="A15" s="37" t="n"/>
      <c r="B15" s="37" t="n"/>
      <c r="C15" s="37" t="n"/>
      <c r="D15" s="37" t="n"/>
      <c r="E15" s="37"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H33"/>
  <sheetViews>
    <sheetView showGridLines="1" topLeftCell="A3" workbookViewId="0">
      <pane ySplit="1" topLeftCell="A2" activePane="bottomLeft" state="frozen"/>
      <selection pane="bottomLeft" activeCell="K5" sqref="K5"/>
    </sheetView>
  </sheetViews>
  <sheetFormatPr baseColWidth="8" defaultColWidth="12.5703125" defaultRowHeight="15.75" customHeight="1"/>
  <cols>
    <col width="28" customWidth="1" style="58" min="1" max="4"/>
    <col width="14" customWidth="1" style="58" min="2" max="2"/>
    <col width="40" customWidth="1" style="58" min="3" max="3"/>
    <col width="22" customWidth="1" style="58" min="4" max="4"/>
    <col width="36" customWidth="1" style="58" min="5" max="5"/>
    <col width="22" customWidth="1" style="58" min="6" max="7"/>
    <col width="42" customWidth="1" style="58" min="7" max="7"/>
  </cols>
  <sheetData>
    <row r="1" ht="32" customHeight="1" s="58">
      <c r="A1" s="94" t="inlineStr">
        <is>
          <t>Quarter</t>
        </is>
      </c>
      <c r="B1" s="94" t="inlineStr">
        <is>
          <t>Review Date</t>
        </is>
      </c>
      <c r="C1" s="94" t="inlineStr">
        <is>
          <t>Tasks</t>
        </is>
      </c>
      <c r="D1" s="94" t="inlineStr">
        <is>
          <t>Realignment Index Target</t>
        </is>
      </c>
      <c r="E1" s="94" t="inlineStr">
        <is>
          <t>Key Milestones/ Thresholds</t>
        </is>
      </c>
      <c r="F1" s="94" t="inlineStr">
        <is>
          <t>Status (Scheduled | In Progress | Complete)</t>
        </is>
      </c>
      <c r="G1" s="94" t="inlineStr">
        <is>
          <t>Notes</t>
        </is>
      </c>
    </row>
    <row r="2" ht="48" customHeight="1" s="58">
      <c r="A2" s="100" t="inlineStr">
        <is>
          <t>Q1 2024 – Q4 2025 (historical baseline)</t>
        </is>
      </c>
      <c r="B2" s="95" t="n">
        <v>46082</v>
      </c>
      <c r="C2" s="96" t="inlineStr">
        <is>
          <t>Backfilled metrics establishing transitional hybrid regime.</t>
        </is>
      </c>
      <c r="D2" s="100" t="inlineStr">
        <is>
          <t>N/A (pre-testing window)</t>
        </is>
      </c>
      <c r="E2" s="96" t="inlineStr">
        <is>
          <t>N/A (pre-testing window)</t>
        </is>
      </c>
      <c r="F2" s="100" t="inlineStr">
        <is>
          <t>Complete</t>
        </is>
      </c>
      <c r="G2" s="96" t="inlineStr">
        <is>
          <t>Precedes formal testing window; provides baseline for all four tests and Dashboard sparklines.</t>
        </is>
      </c>
    </row>
    <row r="3" ht="48" customHeight="1" s="58">
      <c r="A3" s="100" t="inlineStr">
        <is>
          <t>Q1 2026</t>
        </is>
      </c>
      <c r="B3" s="95" t="n">
        <v>46096</v>
      </c>
      <c r="C3" s="96" t="inlineStr">
        <is>
          <t>Refresh all four tests; update Tabs 2–5; recalculate Dashboard index</t>
        </is>
      </c>
      <c r="D3" s="100" t="inlineStr">
        <is>
          <t>≤ 2.0</t>
        </is>
      </c>
      <c r="E3" s="96" t="inlineStr">
        <is>
          <t>First formal entry; confirm transitional hybrid baseline</t>
        </is>
      </c>
      <c r="F3" s="100" t="inlineStr">
        <is>
          <t>Complete</t>
        </is>
      </c>
      <c r="G3" s="96" t="inlineStr">
        <is>
          <t>1. Launch date for live tracking
2. March 2026 metrics synchronized to latest January 2026 releases; Resources hyperlinks and all source tabs now aligned, with Realignment Index formula preserved.</t>
        </is>
      </c>
    </row>
    <row r="4" ht="48" customHeight="1" s="58">
      <c r="A4" s="100" t="inlineStr">
        <is>
          <t>Q2 2026</t>
        </is>
      </c>
      <c r="B4" s="95" t="n">
        <v>46188</v>
      </c>
      <c r="C4" s="96" t="inlineStr">
        <is>
          <t>Update metrics and sparklines; review any new on-chain data</t>
        </is>
      </c>
      <c r="D4" s="100" t="inlineStr">
        <is>
          <t>≤ 1.8</t>
        </is>
      </c>
      <c r="E4" s="96" t="inlineStr">
        <is>
          <t>Check for early convergence signals in self-custody ratio</t>
        </is>
      </c>
      <c r="F4" s="100" t="inlineStr">
        <is>
          <t>Complete</t>
        </is>
      </c>
      <c r="G4" s="96" t="inlineStr">
        <is>
          <t>Monitor ETF and Lightning Network growth
Q2 2026 metrics refreshed across all four test tabs; Dashboard status cards and data table updated with June observations; Realignment Index holds at 2.0 under persistent transitional conditions; official DFA top-1 % net-worth share increased from 30.3 % (2023:Q4) to 31.6 % (2026:Q1) over the logged window; concentration has not narrowed. No misalignment with Dismantlement Framework Section 2 or capstone Section 3 mappings detected.</t>
        </is>
      </c>
    </row>
    <row r="5" ht="48" customHeight="1" s="58">
      <c r="A5" s="100" t="inlineStr">
        <is>
          <t>Q3 2026</t>
        </is>
      </c>
      <c r="B5" s="95" t="n">
        <v>46280</v>
      </c>
      <c r="C5" s="96" t="inlineStr">
        <is>
          <t>Full data refresh; add any new historical studies to Tab 4</t>
        </is>
      </c>
      <c r="D5" s="100" t="inlineStr">
        <is>
          <t>≤ 1.7</t>
        </is>
      </c>
      <c r="E5" s="96" t="inlineStr">
        <is>
          <t>Assess whether adoption has crossed 9 % global threshold</t>
        </is>
      </c>
      <c r="F5" s="100" t="inlineStr">
        <is>
          <t>Scheduled</t>
        </is>
      </c>
      <c r="G5" s="96" t="inlineStr">
        <is>
          <t>Mid-year deep dive on multiplier inoperability</t>
        </is>
      </c>
    </row>
    <row r="6" ht="48" customHeight="1" s="58">
      <c r="A6" s="100" t="inlineStr">
        <is>
          <t>Q4 2026</t>
        </is>
      </c>
      <c r="B6" s="95" t="n">
        <v>46371</v>
      </c>
      <c r="C6" s="96" t="inlineStr">
        <is>
          <t>Year-end review; export PDF archive</t>
        </is>
      </c>
      <c r="D6" s="100" t="inlineStr">
        <is>
          <t>≤ 1.6</t>
        </is>
      </c>
      <c r="E6" s="96" t="inlineStr">
        <is>
          <t>Evaluate progress toward 1.5 obsolescence threshold (Section 6)</t>
        </is>
      </c>
      <c r="F6" s="100" t="inlineStr">
        <is>
          <t>Scheduled</t>
        </is>
      </c>
      <c r="G6" s="96" t="inlineStr">
        <is>
          <t>Annual summary for author review</t>
        </is>
      </c>
    </row>
    <row r="7" ht="48" customHeight="1" s="58">
      <c r="A7" s="100" t="inlineStr">
        <is>
          <t>Q1 2027</t>
        </is>
      </c>
      <c r="B7" s="95" t="n">
        <v>46461</v>
      </c>
      <c r="C7" s="96" t="inlineStr">
        <is>
          <t>Annual deep review; recalibrate Realignment Index weights if needed</t>
        </is>
      </c>
      <c r="D7" s="100" t="inlineStr">
        <is>
          <t>≤ 1.5</t>
        </is>
      </c>
      <c r="E7" s="96" t="inlineStr">
        <is>
          <t>Primary threshold check; consider shifting to semi-annual cadence if aligned</t>
        </is>
      </c>
      <c r="F7" s="100" t="inlineStr">
        <is>
          <t>Scheduled</t>
        </is>
      </c>
      <c r="G7" s="96" t="inlineStr">
        <is>
          <t>Two-year milestone from capstone date</t>
        </is>
      </c>
    </row>
    <row r="8" ht="48" customHeight="1" s="58">
      <c r="A8" s="100" t="inlineStr">
        <is>
          <t>Q2 2027</t>
        </is>
      </c>
      <c r="B8" s="95" t="n">
        <v>46553</v>
      </c>
      <c r="C8" s="96" t="inlineStr">
        <is>
          <t>Update metrics and sparklines; review any new on-chain data</t>
        </is>
      </c>
      <c r="D8" s="100" t="inlineStr">
        <is>
          <t>≤ 1.5</t>
        </is>
      </c>
      <c r="E8" s="96" t="inlineStr">
        <is>
          <t>Check for continued convergence in self-custody ratio</t>
        </is>
      </c>
      <c r="F8" s="100" t="inlineStr">
        <is>
          <t>Scheduled</t>
        </is>
      </c>
      <c r="G8" s="96" t="inlineStr">
        <is>
          <t>Mid-year review of multiplier inoperability</t>
        </is>
      </c>
      <c r="H8" s="37" t="n"/>
    </row>
    <row r="9" ht="48" customHeight="1" s="58">
      <c r="A9" s="100" t="inlineStr">
        <is>
          <t>Q3 2027</t>
        </is>
      </c>
      <c r="B9" s="95" t="n">
        <v>46645</v>
      </c>
      <c r="C9" s="96" t="inlineStr">
        <is>
          <t>Full data refresh; add any new historical studies to Tab 5</t>
        </is>
      </c>
      <c r="D9" s="100" t="inlineStr">
        <is>
          <t>≤ 1.5</t>
        </is>
      </c>
      <c r="E9" s="96" t="inlineStr">
        <is>
          <t>Assess whether adoption has crossed 10 % global threshold</t>
        </is>
      </c>
      <c r="F9" s="100" t="inlineStr">
        <is>
          <t>Scheduled</t>
        </is>
      </c>
      <c r="G9" s="96" t="inlineStr">
        <is>
          <t>Deep dive on realignment-cycle strength</t>
        </is>
      </c>
      <c r="H9" s="37" t="n"/>
    </row>
    <row r="10" ht="48" customHeight="1" s="58">
      <c r="A10" s="100" t="inlineStr">
        <is>
          <t>Q4 2027</t>
        </is>
      </c>
      <c r="B10" s="95" t="n">
        <v>46736</v>
      </c>
      <c r="C10" s="96" t="inlineStr">
        <is>
          <t>Year-end review; export PDF archive</t>
        </is>
      </c>
      <c r="D10" s="100" t="inlineStr">
        <is>
          <t>≤ 1.5</t>
        </is>
      </c>
      <c r="E10" s="96" t="inlineStr">
        <is>
          <t>Evaluate progress toward sustained obsolescence signals (Section 6)</t>
        </is>
      </c>
      <c r="F10" s="100" t="inlineStr">
        <is>
          <t>Scheduled</t>
        </is>
      </c>
      <c r="G10" s="96" t="inlineStr">
        <is>
          <t>Annual summary for author review</t>
        </is>
      </c>
      <c r="H10" s="37" t="n"/>
    </row>
    <row r="11" ht="48" customHeight="1" s="58">
      <c r="A11" s="100" t="inlineStr">
        <is>
          <t>Q1 2028</t>
        </is>
      </c>
      <c r="B11" s="95" t="n">
        <v>46827</v>
      </c>
      <c r="C11" s="96" t="inlineStr">
        <is>
          <t>Final formal review of 24-month window; decide on extension or annual-only mode</t>
        </is>
      </c>
      <c r="D11" s="100" t="inlineStr">
        <is>
          <t>≤ 1.5</t>
        </is>
      </c>
      <c r="E11" s="96" t="inlineStr">
        <is>
          <t>Full protocol evaluation; document any structural obsolescence signals</t>
        </is>
      </c>
      <c r="F11" s="100" t="inlineStr">
        <is>
          <t>Scheduled</t>
        </is>
      </c>
      <c r="G11" s="96" t="inlineStr">
        <is>
          <t>End of primary testing horizon</t>
        </is>
      </c>
    </row>
    <row r="12" ht="15.75" customHeight="1" s="58">
      <c r="A12" s="37" t="n"/>
      <c r="B12" s="37" t="n"/>
      <c r="C12" s="37" t="n"/>
      <c r="D12" s="37" t="n"/>
      <c r="E12" s="37" t="n"/>
      <c r="F12" s="37" t="n"/>
      <c r="G12" s="37" t="n"/>
    </row>
    <row r="13" ht="15.75" customHeight="1" s="58">
      <c r="A13" s="37" t="n"/>
      <c r="B13" s="37" t="n"/>
      <c r="C13" s="37" t="n"/>
      <c r="D13" s="37" t="n"/>
      <c r="E13" s="37" t="n"/>
      <c r="F13" s="37" t="n"/>
      <c r="G13" s="37" t="n"/>
    </row>
    <row r="14" ht="15.75" customHeight="1" s="58">
      <c r="A14" s="37" t="n"/>
      <c r="B14" s="37" t="n"/>
      <c r="C14" s="37" t="n"/>
      <c r="D14" s="37" t="n"/>
      <c r="E14" s="37" t="n"/>
      <c r="F14" s="37" t="n"/>
      <c r="G14" s="37" t="n"/>
    </row>
    <row r="15" ht="15.75" customHeight="1" s="58">
      <c r="A15" s="37" t="n"/>
      <c r="B15" s="37" t="n"/>
      <c r="C15" s="37" t="n"/>
      <c r="D15" s="37" t="n"/>
      <c r="E15" s="37" t="n"/>
      <c r="F15" s="37" t="n"/>
      <c r="G15" s="37" t="n"/>
    </row>
    <row r="16" ht="15.75" customHeight="1" s="58">
      <c r="A16" s="37" t="n"/>
      <c r="B16" s="37" t="n"/>
      <c r="C16" s="37" t="n"/>
      <c r="D16" s="37" t="n"/>
      <c r="E16" s="37" t="n"/>
      <c r="F16" s="37" t="n"/>
      <c r="G16" s="37" t="n"/>
    </row>
    <row r="17" ht="15.75" customHeight="1" s="58">
      <c r="A17" s="37" t="n"/>
      <c r="B17" s="37" t="n"/>
      <c r="C17" s="37" t="n"/>
      <c r="D17" s="37" t="n"/>
      <c r="E17" s="37" t="n"/>
      <c r="F17" s="37" t="n"/>
      <c r="G17" s="37" t="n"/>
    </row>
    <row r="18" ht="15.75" customHeight="1" s="58">
      <c r="A18" s="37" t="n"/>
      <c r="B18" s="37" t="n"/>
      <c r="C18" s="37" t="n"/>
      <c r="D18" s="37" t="n"/>
      <c r="E18" s="37" t="n"/>
      <c r="F18" s="37" t="n"/>
      <c r="G18" s="37" t="n"/>
    </row>
    <row r="19" ht="15.75" customHeight="1" s="58">
      <c r="A19" s="37" t="n"/>
      <c r="B19" s="37" t="n"/>
      <c r="C19" s="37" t="n"/>
      <c r="D19" s="37" t="n"/>
      <c r="E19" s="37" t="n"/>
      <c r="F19" s="37" t="n"/>
      <c r="G19" s="37" t="n"/>
    </row>
    <row r="30" ht="12.75" customHeight="1" s="58">
      <c r="A30" s="1" t="n"/>
      <c r="B30" s="1" t="n"/>
    </row>
    <row r="31" ht="12.75" customHeight="1" s="58">
      <c r="A31" s="1" t="n"/>
      <c r="B31" s="1" t="n"/>
    </row>
    <row r="32" ht="12.75" customHeight="1" s="58">
      <c r="A32" s="1" t="n"/>
      <c r="B32" s="1" t="n"/>
    </row>
    <row r="33" ht="12.75" customHeight="1" s="58">
      <c r="A33" s="1" t="n"/>
      <c r="B33" s="1" t="n"/>
    </row>
  </sheetData>
  <conditionalFormatting sqref="A3:B26 A36:B84 B30:B33 C3:G3 C5:G7 C11:G84 F2 F4 F8:F10">
    <cfRule type="cellIs" priority="2" operator="equal" dxfId="2">
      <formula>"Scheduled"</formula>
    </cfRule>
    <cfRule type="cellIs" priority="3" operator="equal" dxfId="1">
      <formula>"In Progress"</formula>
    </cfRule>
  </conditionalFormatting>
  <conditionalFormatting sqref="A3:B26 A36:B104 B30:B33 C3:G3 C5:G7 C11:G104 F2 F4 F8:F10">
    <cfRule type="cellIs" priority="1" operator="equal" dxfId="0">
      <formula>"Complete"</formula>
    </cfRule>
  </conditionalFormatting>
  <dataValidations count="1">
    <dataValidation sqref="F2:F54" showDropDown="0" showInputMessage="1" showErrorMessage="1" allowBlank="1" type="list">
      <formula1>"Scheduled,In Progress,Complete"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fitToPage="1"/>
  </sheetPr>
  <dimension ref="A1:E7"/>
  <sheetViews>
    <sheetView showGridLines="1" workbookViewId="0">
      <pane ySplit="1" topLeftCell="A2" activePane="bottomLeft" state="frozen"/>
      <selection pane="bottomLeft" activeCell="A1" sqref="A1"/>
    </sheetView>
  </sheetViews>
  <sheetFormatPr baseColWidth="8" defaultRowHeight="15"/>
  <cols>
    <col width="28" customWidth="1" style="58" min="1" max="1"/>
    <col width="36" customWidth="1" style="58" min="2" max="2"/>
    <col width="48" customWidth="1" style="58" min="3" max="3"/>
    <col width="56" customWidth="1" style="58" min="4" max="4"/>
    <col width="32" customWidth="1" style="58" min="5" max="5"/>
  </cols>
  <sheetData>
    <row r="1" ht="32" customHeight="1" s="58">
      <c r="A1" s="94" t="inlineStr">
        <is>
          <t>Topic</t>
        </is>
      </c>
      <c r="B1" s="94" t="inlineStr">
        <is>
          <t>Stored Q2 figure</t>
        </is>
      </c>
      <c r="C1" s="94" t="inlineStr">
        <is>
          <t>Official series / gap</t>
        </is>
      </c>
      <c r="D1" s="94" t="inlineStr">
        <is>
          <t>Method going forward</t>
        </is>
      </c>
      <c r="E1" s="94" t="inlineStr">
        <is>
          <t>Action this draft (retained / documented only)</t>
        </is>
      </c>
    </row>
    <row r="2" ht="110" customHeight="1" s="58">
      <c r="A2" s="96" t="inlineStr">
        <is>
          <t>Broad-money multiplier</t>
        </is>
      </c>
      <c r="B2" s="96" t="inlineStr">
        <is>
          <t>3.3 (elastic) — A.2 cell D11 (Q2 2026 log date 2026-06-15). Earlier rows store 4.2 … 3.4, some with an “elastic” label.</t>
        </is>
      </c>
      <c r="C2" s="96" t="inlineStr">
        <is>
          <t>FRED MULT (M1 money multiplier) is discontinued; last observation 2019-12-04 = 1.197. No official current series reproduces the stored 3.3. The workbook stores a qualitative “elastic” label together with a numeric 3.3. FRED M2SL and FRED BOGMBASE remain current but are not the historical MULT series.</t>
        </is>
      </c>
      <c r="D2" s="96" t="inlineStr">
        <is>
          <t>Two options, neither applied to stored cells: (i) retire the numeric and keep only a qualitative elastic/inelastic flag; or (ii) define multiplier as M2SL / monetary base (BOGMBASE) and document units and observation dates. Option (ii) is a FUTURE option only. Illustration with June 2026 FRED prints retrieved 2026-08-24 (not written into A.2): M2SL 2026-06-01 = 23,155.2 / BOGMBASE 2026-06-01 = 5,488.4 ≈ 4.22, which does not equal 3.3. Q2 3.3 is unreproducible from a current official print.</t>
        </is>
      </c>
      <c r="E2" s="96" t="inlineStr">
        <is>
          <t>Retained. Documented only. A.2 3.3 values were not overwritten.</t>
        </is>
      </c>
    </row>
    <row r="3" ht="110" customHeight="1" s="58">
      <c r="A3" s="96" t="inlineStr">
        <is>
          <t>Fed balance sheet as % of GDP</t>
        </is>
      </c>
      <c r="B3" s="96" t="inlineStr">
        <is>
          <t>21.8 — A.2 cell C11 (Q2 2026). Earlier rows store 26.8 … 22.1.</t>
        </is>
      </c>
      <c r="C3" s="96" t="inlineStr">
        <is>
          <t>No official combined series. Components: FRED WALCL (Federal Reserve total assets, millions of USD, Wednesday frequency) and FRED GDP (nominal GDP, billions of USD, SAAR, quarterly).</t>
        </is>
      </c>
      <c r="D3" s="96" t="inlineStr">
        <is>
          <t>Proposed method for FUTURE rows only (do not silently recompute historical 21.8): (WALCL in billions) / GDP × 100, pairing the last Wednesday WALCL in the DFA/log quarter with that quarter’s GDP. Reconstruction attempt around log date 2026-06-15 (FRED CSVs retrieved 2026-08-24): WALCL 2026-06-10 (last Wednesday on or before 15 June) = 6,725,397 million USD = $6,725.397 billion. ÷ GDP 2026:Q1 (observation_date 2026-01-01) $31,865.721 billion × 100 = 21.11%. ÷ GDP 2026:Q2 (observation_date 2026-04-01) $32,475.210 billion × 100 = 20.71%. Last Wednesday of DFA quarter 2026:Q1, WALCL 2026-03-25 = $6,657.161 billion ÷ Q1 GDP × 100 = 20.89%. Closest pairing tried: WALCL 2026-06-17 ($6,736.424 billion) ÷ Q1 GDP × 100 = 21.14%. None equals the stored 21.8 (gap ≈ 0.7–1.1 percentage points). Method not reconstructed; 21.8 retained from the Q2 log.</t>
        </is>
      </c>
      <c r="E3" s="96" t="inlineStr">
        <is>
          <t>Retained from Q2 log; method not reconstructed. Documented only. Stored 21.8 unchanged.</t>
        </is>
      </c>
    </row>
    <row r="4" ht="110" customHeight="1" s="58">
      <c r="A4" s="96" t="inlineStr">
        <is>
          <t>BTC full-reserve lending volume and on-chain share</t>
        </is>
      </c>
      <c r="B4" s="96" t="inlineStr">
        <is>
          <t>$85 billion and 71% — A.2 cells E11 and F11 (Q2 2026).</t>
        </is>
      </c>
      <c r="C4" s="96" t="inlineStr">
        <is>
          <t>Q2 citations in the log: Glassnode Q2 2026; DeFiLlama June 2026 snapshot. Free DeFiLlama API all-chain lending TVL (about $47 billion on 2026-08-20) and Bitcoin-chain lending TVL (about $6.8 million) are not equivalent to “$85B BTC full-reserve lending volume.”</t>
        </is>
      </c>
      <c r="D4" s="96" t="inlineStr">
        <is>
          <t>Keep $85B / 71% as the Q2 logged snapshot. Future updates require the same Glassnode / DeFiLlama Pro definition used on 15 June 2026: full-reserve BTC lending volume, and on-chain share of total crypto lending. Do not substitute free-API TVL figures.</t>
        </is>
      </c>
      <c r="E4" s="96" t="inlineStr">
        <is>
          <t>Retained. Documented only. $85B and 71% were not replaced.</t>
        </is>
      </c>
    </row>
    <row r="5" ht="110" customHeight="1" s="58">
      <c r="A5" s="96" t="inlineStr">
        <is>
          <t>Top 1% wealth share and Wealth Gini</t>
        </is>
      </c>
      <c r="B5" s="96" t="inlineStr">
        <is>
          <t>Top 1% = 31.6 (A.2 H11 / A.4 D11), DFA quarter 2026:Q1, series WFRBST01134, vintage release 2026-06-18. A.2 column G also stores a non-DFA Wealth Gini (0.86 at Q2).</t>
        </is>
      </c>
      <c r="C5" s="96" t="inlineStr">
        <is>
          <t>Top 1% is FRED WFRBST01134 / Fed Distributional Financial Accounts net-worth share. Gini is not a DFA field; this workbook has no named primary Gini series.</t>
        </is>
      </c>
      <c r="D5" s="96" t="inlineStr">
        <is>
          <t>Continue the existing log-date → DFA observation-quarter map (15 Mar YYYY → Q4 of YYYY−1; 15 Jun → Q1; 15 Sep → Q2; 15 Dec → Q3) and cite WFRBST01134 with vintage date. Do not treat Gini as DFA. Gini remains in A.2 G pending a named primary series.</t>
        </is>
      </c>
      <c r="E5" s="96" t="inlineStr">
        <is>
          <t>Retained (DFA vintage already aligned in this workbook). Documented only.</t>
        </is>
      </c>
    </row>
    <row r="7" ht="48" customHeight="1" s="58">
      <c r="A7" s="106" t="inlineStr">
        <is>
          <t>Purpose. This sheet records reconstruction rules and series gaps for figures that lack a single official combined print. It does not change stored Q2 values. FRED WALCL, GDP, M2SL, BOGMBASE, and MULT CSVs retrieved 2026-08-24. Draft for review — not published.</t>
        </is>
      </c>
    </row>
  </sheetData>
  <mergeCells count="1">
    <mergeCell ref="A7:E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3"/>
  <sheetViews>
    <sheetView showGridLines="1" workbookViewId="0">
      <pane ySplit="1" topLeftCell="A2" activePane="bottomLeft" state="frozen"/>
      <selection pane="bottomLeft" activeCell="A1" sqref="A1"/>
    </sheetView>
  </sheetViews>
  <sheetFormatPr baseColWidth="8" defaultRowHeight="12.75"/>
  <cols>
    <col width="13" customWidth="1" style="58" min="1" max="1"/>
    <col width="34" customWidth="1" style="58" min="2" max="2"/>
    <col width="22" customWidth="1" style="58" min="3" max="3"/>
    <col width="42" customWidth="1" style="58" min="4" max="5"/>
    <col width="48" customWidth="1" style="58" min="5" max="5"/>
    <col width="56" customWidth="1" style="58" min="6" max="6"/>
    <col width="48" customWidth="1" style="58" min="7" max="7"/>
  </cols>
  <sheetData>
    <row r="1" ht="32" customHeight="1" s="58">
      <c r="A1" s="94" t="inlineStr">
        <is>
          <t>Date of edit</t>
        </is>
      </c>
      <c r="B1" s="94" t="inlineStr">
        <is>
          <t>Sheet</t>
        </is>
      </c>
      <c r="C1" s="94" t="inlineStr">
        <is>
          <t>Cell</t>
        </is>
      </c>
      <c r="D1" s="94" t="inlineStr">
        <is>
          <t>Old value</t>
        </is>
      </c>
      <c r="E1" s="94" t="inlineStr">
        <is>
          <t>New value</t>
        </is>
      </c>
      <c r="F1" s="94" t="inlineStr">
        <is>
          <t>Reason</t>
        </is>
      </c>
      <c r="G1" s="94" t="inlineStr">
        <is>
          <t>Source</t>
        </is>
      </c>
    </row>
    <row r="2" ht="42" customHeight="1" s="58">
      <c r="A2" s="95" t="n">
        <v>46258</v>
      </c>
      <c r="B2" s="100" t="inlineStr">
        <is>
          <t>(workbook)</t>
        </is>
      </c>
      <c r="C2" s="100" t="inlineStr">
        <is>
          <t>N/A</t>
        </is>
      </c>
      <c r="D2" s="96" t="n"/>
      <c r="E2" s="96" t="n"/>
      <c r="F2" s="96" t="inlineStr">
        <is>
          <t>ALIGNMENT RULE (LOG DATE -&gt; DFA observation quarter): 15 Mar YYYY -&gt; Q4 of YYYY-1; 15 Jun YYYY -&gt; Q1 of YYYY; 15 Sep YYYY -&gt; Q2 of YYYY; 15 Dec YYYY -&gt; Q3 of YYYY. Example: 2026-06-15 -&gt; 2026:Q1; 2025-12-15 -&gt; 2025:Q3; 2026-03-15 -&gt; 2025:Q4.</t>
        </is>
      </c>
      <c r="G2" s="96" t="inlineStr">
        <is>
          <t>Task specification; Fed DFA quarterly calendar</t>
        </is>
      </c>
    </row>
    <row r="3" ht="42" customHeight="1" s="58">
      <c r="A3" s="95" t="n">
        <v>46258</v>
      </c>
      <c r="B3" s="100" t="inlineStr">
        <is>
          <t>(workbook)</t>
        </is>
      </c>
      <c r="C3" s="100" t="inlineStr">
        <is>
          <t>N/A</t>
        </is>
      </c>
      <c r="D3" s="96" t="n"/>
      <c r="E3" s="96" t="n"/>
      <c r="F3" s="96" t="inlineStr">
        <is>
          <t>DRAFT WORKING COPY for John Quinby review. Empirical Sentinel draft. NOT published, not emailed, not pushed to GitHub, not deposited to Zenodo, and does not overwrite the uploaded original.</t>
        </is>
      </c>
      <c r="G3" s="96" t="inlineStr">
        <is>
          <t>Author note: Empirical Sentinel draft for John Quinby review</t>
        </is>
      </c>
    </row>
    <row r="4" ht="42" customHeight="1" s="58">
      <c r="A4" s="95" t="n">
        <v>46258</v>
      </c>
      <c r="B4" s="100" t="inlineStr">
        <is>
          <t>A.2 Transmission-Mechanism Metr</t>
        </is>
      </c>
      <c r="C4" s="100" t="inlineStr">
        <is>
          <t>G (Gini portion)</t>
        </is>
      </c>
      <c r="D4" s="96" t="inlineStr">
        <is>
          <t>Gini figures retained</t>
        </is>
      </c>
      <c r="E4" s="96" t="inlineStr">
        <is>
          <t>Gini figures unchanged</t>
        </is>
      </c>
      <c r="F4" s="96" t="inlineStr">
        <is>
          <t>Gini is NOT a DFA field. Only the Top 1% net-worth share is taken from FRED WFRBST01134 / Fed Distributional Financial Accounts. A comment was added on G1 stating this.</t>
        </is>
      </c>
      <c r="G4" s="96" t="inlineStr">
        <is>
          <t>FRED WFRBST01134 CSV retrieved 2026-08-24; Fed DFA vintage release 2026-06-18 covering through 2026:Q1</t>
        </is>
      </c>
    </row>
    <row r="5" ht="42" customHeight="1" s="58">
      <c r="A5" s="95" t="n">
        <v>46258</v>
      </c>
      <c r="B5" s="100" t="inlineStr">
        <is>
          <t>(series vintage)</t>
        </is>
      </c>
      <c r="C5" s="100" t="inlineStr">
        <is>
          <t>N/A</t>
        </is>
      </c>
      <c r="D5" s="96" t="n"/>
      <c r="E5" s="96" t="inlineStr">
        <is>
          <t>Release 2026-06-18 applied to every row</t>
        </is>
      </c>
      <c r="F5" s="96" t="inlineStr">
        <is>
          <t>All historical quarters use the CURRENT downloaded vintage (FRED WFRBST01134 retrieved 2026-08-24). Last DFA release 2026-06-18 covering 2026:Q1. This is the release date of the current vintage of each quarter, not the original first-publication date.</t>
        </is>
      </c>
      <c r="G5" s="96" t="inlineStr">
        <is>
          <t>FRED WFRBST01134 CSV retrieved 2026-08-24; Fed DFA vintage release 2026-06-18 covering through 2026:Q1</t>
        </is>
      </c>
    </row>
    <row r="6" ht="42" customHeight="1" s="58">
      <c r="A6" s="95" t="n">
        <v>46258</v>
      </c>
      <c r="B6" s="100" t="inlineStr">
        <is>
          <t>A.2 Transmission-Mechanism Metr</t>
        </is>
      </c>
      <c r="C6" s="100" t="inlineStr">
        <is>
          <t>H1</t>
        </is>
      </c>
      <c r="D6" s="96" t="n"/>
      <c r="E6" s="96" t="inlineStr">
        <is>
          <t>DFA Top 1% (net worth %)</t>
        </is>
      </c>
      <c r="F6" s="96" t="inlineStr">
        <is>
          <t>New header for DFA vintage field</t>
        </is>
      </c>
      <c r="G6" s="96" t="inlineStr">
        <is>
          <t>FRED WFRBST01134 CSV retrieved 2026-08-24; Fed DFA vintage release 2026-06-18 covering through 2026:Q1</t>
        </is>
      </c>
    </row>
    <row r="7" ht="42" customHeight="1" s="58">
      <c r="A7" s="95" t="n">
        <v>46258</v>
      </c>
      <c r="B7" s="100" t="inlineStr">
        <is>
          <t>A.2 Transmission-Mechanism Metr</t>
        </is>
      </c>
      <c r="C7" s="100" t="inlineStr">
        <is>
          <t>I1</t>
        </is>
      </c>
      <c r="D7" s="96" t="n"/>
      <c r="E7" s="96" t="inlineStr">
        <is>
          <t>DFA quarter</t>
        </is>
      </c>
      <c r="F7" s="96" t="inlineStr">
        <is>
          <t>New header for DFA vintage field</t>
        </is>
      </c>
      <c r="G7" s="96" t="inlineStr">
        <is>
          <t>FRED WFRBST01134 CSV retrieved 2026-08-24; Fed DFA vintage release 2026-06-18 covering through 2026:Q1</t>
        </is>
      </c>
    </row>
    <row r="8" ht="42" customHeight="1" s="58">
      <c r="A8" s="95" t="n">
        <v>46258</v>
      </c>
      <c r="B8" s="100" t="inlineStr">
        <is>
          <t>A.2 Transmission-Mechanism Metr</t>
        </is>
      </c>
      <c r="C8" s="100" t="inlineStr">
        <is>
          <t>J1</t>
        </is>
      </c>
      <c r="D8" s="96" t="n"/>
      <c r="E8" s="96" t="inlineStr">
        <is>
          <t>DFA release date</t>
        </is>
      </c>
      <c r="F8" s="96" t="inlineStr">
        <is>
          <t>New header for DFA vintage field</t>
        </is>
      </c>
      <c r="G8" s="96" t="inlineStr">
        <is>
          <t>FRED WFRBST01134 CSV retrieved 2026-08-24; Fed DFA vintage release 2026-06-18 covering through 2026:Q1</t>
        </is>
      </c>
    </row>
    <row r="9" ht="42" customHeight="1" s="58">
      <c r="A9" s="95" t="n">
        <v>46258</v>
      </c>
      <c r="B9" s="100" t="inlineStr">
        <is>
          <t>A.2 Transmission-Mechanism Metr</t>
        </is>
      </c>
      <c r="C9" s="100" t="inlineStr">
        <is>
          <t>K1</t>
        </is>
      </c>
      <c r="D9" s="96" t="n"/>
      <c r="E9" s="96" t="inlineStr">
        <is>
          <t>DFA series</t>
        </is>
      </c>
      <c r="F9" s="96" t="inlineStr">
        <is>
          <t>New header for DFA vintage field</t>
        </is>
      </c>
      <c r="G9" s="96" t="inlineStr">
        <is>
          <t>FRED WFRBST01134 CSV retrieved 2026-08-24; Fed DFA vintage release 2026-06-18 covering through 2026:Q1</t>
        </is>
      </c>
    </row>
    <row r="10" ht="42" customHeight="1" s="58">
      <c r="A10" s="95" t="n">
        <v>46258</v>
      </c>
      <c r="B10" s="100" t="inlineStr">
        <is>
          <t>A.2 Transmission-Mechanism Metr</t>
        </is>
      </c>
      <c r="C10" s="100" t="inlineStr">
        <is>
          <t>G2</t>
        </is>
      </c>
      <c r="D10" s="96" t="inlineStr">
        <is>
          <t>Gini 0.90 / 32.6</t>
        </is>
      </c>
      <c r="E10" s="96" t="inlineStr">
        <is>
          <t>Gini 0.90 / 30.3</t>
        </is>
      </c>
      <c r="F10" s="96" t="inlineStr">
        <is>
          <t>Replace non-official / misaligned Top 1% figure with FRED WFRBST01134 net-worth share for the mapped DFA quarter. Gini left unchanged (Gini is NOT a DFA field).</t>
        </is>
      </c>
      <c r="G10" s="96" t="inlineStr">
        <is>
          <t>FRED WFRBST01134 CSV retrieved 2026-08-24; Fed DFA vintage release 2026-06-18 covering through 2026:Q1</t>
        </is>
      </c>
    </row>
    <row r="11" ht="42" customHeight="1" s="58">
      <c r="A11" s="95" t="n">
        <v>46258</v>
      </c>
      <c r="B11" s="100" t="inlineStr">
        <is>
          <t>A.2 Transmission-Mechanism Metr</t>
        </is>
      </c>
      <c r="C11" s="100" t="inlineStr">
        <is>
          <t>H2</t>
        </is>
      </c>
      <c r="D11" s="96" t="n"/>
      <c r="E11" s="96" t="n">
        <v>30.3</v>
      </c>
      <c r="F11" s="96" t="inlineStr">
        <is>
          <t>Official DFA Top 1% net-worth share for 2023:Q4</t>
        </is>
      </c>
      <c r="G11" s="96" t="inlineStr">
        <is>
          <t>FRED WFRBST01134 CSV retrieved 2026-08-24; Fed DFA vintage release 2026-06-18 covering through 2026:Q1</t>
        </is>
      </c>
    </row>
    <row r="12" ht="42" customHeight="1" s="58">
      <c r="A12" s="95" t="n">
        <v>46258</v>
      </c>
      <c r="B12" s="100" t="inlineStr">
        <is>
          <t>A.2 Transmission-Mechanism Metr</t>
        </is>
      </c>
      <c r="C12" s="100" t="inlineStr">
        <is>
          <t>I2</t>
        </is>
      </c>
      <c r="D12" s="96" t="n"/>
      <c r="E12" s="96" t="inlineStr">
        <is>
          <t>2023:Q4</t>
        </is>
      </c>
      <c r="F12" s="96" t="inlineStr">
        <is>
          <t>Mapped DFA observation quarter for log date (rule: 15 Mar-&gt;Q4 prior year; 15 Jun-&gt;Q1; 15 Sep-&gt;Q2; 15 Dec-&gt;Q3)</t>
        </is>
      </c>
      <c r="G12" s="96" t="inlineStr">
        <is>
          <t>FRED WFRBST01134 CSV retrieved 2026-08-24; Fed DFA vintage release 2026-06-18 covering through 2026:Q1</t>
        </is>
      </c>
    </row>
    <row r="13" ht="42" customHeight="1" s="58">
      <c r="A13" s="95" t="n">
        <v>46258</v>
      </c>
      <c r="B13" s="100" t="inlineStr">
        <is>
          <t>A.2 Transmission-Mechanism Metr</t>
        </is>
      </c>
      <c r="C13" s="100" t="inlineStr">
        <is>
          <t>J2</t>
        </is>
      </c>
      <c r="D13" s="96" t="n"/>
      <c r="E13" s="96" t="inlineStr">
        <is>
          <t>2026-06-18</t>
        </is>
      </c>
      <c r="F13" s="96" t="inlineStr">
        <is>
          <t>Current vintage release date of the downloaded series (same vintage applied to all historical quarters)</t>
        </is>
      </c>
      <c r="G13" s="96" t="inlineStr">
        <is>
          <t>FRED WFRBST01134 CSV retrieved 2026-08-24; Fed DFA vintage release 2026-06-18 covering through 2026:Q1</t>
        </is>
      </c>
    </row>
    <row r="14" ht="42" customHeight="1" s="58">
      <c r="A14" s="95" t="n">
        <v>46258</v>
      </c>
      <c r="B14" s="100" t="inlineStr">
        <is>
          <t>A.2 Transmission-Mechanism Metr</t>
        </is>
      </c>
      <c r="C14" s="100" t="inlineStr">
        <is>
          <t>K2</t>
        </is>
      </c>
      <c r="D14" s="96" t="n"/>
      <c r="E14" s="96" t="inlineStr">
        <is>
          <t>WFRBST01134</t>
        </is>
      </c>
      <c r="F14" s="96" t="inlineStr">
        <is>
          <t>FRED / DFA series id for Share of Net Worth Held by the Top 1%</t>
        </is>
      </c>
      <c r="G14" s="96" t="inlineStr">
        <is>
          <t>FRED WFRBST01134 CSV retrieved 2026-08-24; Fed DFA vintage release 2026-06-18 covering through 2026:Q1</t>
        </is>
      </c>
    </row>
    <row r="15" ht="42" customHeight="1" s="58">
      <c r="A15" s="95" t="n">
        <v>46258</v>
      </c>
      <c r="B15" s="100" t="inlineStr">
        <is>
          <t>A.2 Transmission-Mechanism Metr</t>
        </is>
      </c>
      <c r="C15" s="100" t="inlineStr">
        <is>
          <t>G3</t>
        </is>
      </c>
      <c r="D15" s="96" t="inlineStr">
        <is>
          <t>Gini 0.89 / 32.5</t>
        </is>
      </c>
      <c r="E15" s="96" t="inlineStr">
        <is>
          <t>Gini 0.89 / 30.6</t>
        </is>
      </c>
      <c r="F15" s="96" t="inlineStr">
        <is>
          <t>Replace non-official / misaligned Top 1% figure with FRED WFRBST01134 net-worth share for the mapped DFA quarter. Gini left unchanged (Gini is NOT a DFA field).</t>
        </is>
      </c>
      <c r="G15" s="96" t="inlineStr">
        <is>
          <t>FRED WFRBST01134 CSV retrieved 2026-08-24; Fed DFA vintage release 2026-06-18 covering through 2026:Q1</t>
        </is>
      </c>
    </row>
    <row r="16" ht="42" customHeight="1" s="58">
      <c r="A16" s="95" t="n">
        <v>46258</v>
      </c>
      <c r="B16" s="100" t="inlineStr">
        <is>
          <t>A.2 Transmission-Mechanism Metr</t>
        </is>
      </c>
      <c r="C16" s="100" t="inlineStr">
        <is>
          <t>H3</t>
        </is>
      </c>
      <c r="D16" s="96" t="n"/>
      <c r="E16" s="96" t="n">
        <v>30.6</v>
      </c>
      <c r="F16" s="96" t="inlineStr">
        <is>
          <t>Official DFA Top 1% net-worth share for 2024:Q1</t>
        </is>
      </c>
      <c r="G16" s="96" t="inlineStr">
        <is>
          <t>FRED WFRBST01134 CSV retrieved 2026-08-24; Fed DFA vintage release 2026-06-18 covering through 2026:Q1</t>
        </is>
      </c>
    </row>
    <row r="17" ht="42" customHeight="1" s="58">
      <c r="A17" s="95" t="n">
        <v>46258</v>
      </c>
      <c r="B17" s="100" t="inlineStr">
        <is>
          <t>A.2 Transmission-Mechanism Metr</t>
        </is>
      </c>
      <c r="C17" s="100" t="inlineStr">
        <is>
          <t>I3</t>
        </is>
      </c>
      <c r="D17" s="96" t="n"/>
      <c r="E17" s="96" t="inlineStr">
        <is>
          <t>2024:Q1</t>
        </is>
      </c>
      <c r="F17" s="96" t="inlineStr">
        <is>
          <t>Mapped DFA observation quarter for log date (rule: 15 Mar-&gt;Q4 prior year; 15 Jun-&gt;Q1; 15 Sep-&gt;Q2; 15 Dec-&gt;Q3)</t>
        </is>
      </c>
      <c r="G17" s="96" t="inlineStr">
        <is>
          <t>FRED WFRBST01134 CSV retrieved 2026-08-24; Fed DFA vintage release 2026-06-18 covering through 2026:Q1</t>
        </is>
      </c>
    </row>
    <row r="18" ht="42" customHeight="1" s="58">
      <c r="A18" s="95" t="n">
        <v>46258</v>
      </c>
      <c r="B18" s="100" t="inlineStr">
        <is>
          <t>A.2 Transmission-Mechanism Metr</t>
        </is>
      </c>
      <c r="C18" s="100" t="inlineStr">
        <is>
          <t>J3</t>
        </is>
      </c>
      <c r="D18" s="96" t="n"/>
      <c r="E18" s="96" t="inlineStr">
        <is>
          <t>2026-06-18</t>
        </is>
      </c>
      <c r="F18" s="96" t="inlineStr">
        <is>
          <t>Current vintage release date of the downloaded series (same vintage applied to all historical quarters)</t>
        </is>
      </c>
      <c r="G18" s="96" t="inlineStr">
        <is>
          <t>FRED WFRBST01134 CSV retrieved 2026-08-24; Fed DFA vintage release 2026-06-18 covering through 2026:Q1</t>
        </is>
      </c>
    </row>
    <row r="19" ht="42" customHeight="1" s="58">
      <c r="A19" s="95" t="n">
        <v>46258</v>
      </c>
      <c r="B19" s="100" t="inlineStr">
        <is>
          <t>A.2 Transmission-Mechanism Metr</t>
        </is>
      </c>
      <c r="C19" s="100" t="inlineStr">
        <is>
          <t>K3</t>
        </is>
      </c>
      <c r="D19" s="96" t="n"/>
      <c r="E19" s="96" t="inlineStr">
        <is>
          <t>WFRBST01134</t>
        </is>
      </c>
      <c r="F19" s="96" t="inlineStr">
        <is>
          <t>FRED / DFA series id for Share of Net Worth Held by the Top 1%</t>
        </is>
      </c>
      <c r="G19" s="96" t="inlineStr">
        <is>
          <t>FRED WFRBST01134 CSV retrieved 2026-08-24; Fed DFA vintage release 2026-06-18 covering through 2026:Q1</t>
        </is>
      </c>
    </row>
    <row r="20" ht="42" customHeight="1" s="58">
      <c r="A20" s="95" t="n">
        <v>46258</v>
      </c>
      <c r="B20" s="100" t="inlineStr">
        <is>
          <t>A.2 Transmission-Mechanism Metr</t>
        </is>
      </c>
      <c r="C20" s="100" t="inlineStr">
        <is>
          <t>G4</t>
        </is>
      </c>
      <c r="D20" s="96" t="inlineStr">
        <is>
          <t>Gini 0.89 / 32.4</t>
        </is>
      </c>
      <c r="E20" s="96" t="inlineStr">
        <is>
          <t>Gini 0.89 / 30.5</t>
        </is>
      </c>
      <c r="F20" s="96" t="inlineStr">
        <is>
          <t>Replace non-official / misaligned Top 1% figure with FRED WFRBST01134 net-worth share for the mapped DFA quarter. Gini left unchanged (Gini is NOT a DFA field).</t>
        </is>
      </c>
      <c r="G20" s="96" t="inlineStr">
        <is>
          <t>FRED WFRBST01134 CSV retrieved 2026-08-24; Fed DFA vintage release 2026-06-18 covering through 2026:Q1</t>
        </is>
      </c>
    </row>
    <row r="21" ht="42" customHeight="1" s="58">
      <c r="A21" s="95" t="n">
        <v>46258</v>
      </c>
      <c r="B21" s="100" t="inlineStr">
        <is>
          <t>A.2 Transmission-Mechanism Metr</t>
        </is>
      </c>
      <c r="C21" s="100" t="inlineStr">
        <is>
          <t>H4</t>
        </is>
      </c>
      <c r="D21" s="96" t="n"/>
      <c r="E21" s="96" t="n">
        <v>30.5</v>
      </c>
      <c r="F21" s="96" t="inlineStr">
        <is>
          <t>Official DFA Top 1% net-worth share for 2024:Q2</t>
        </is>
      </c>
      <c r="G21" s="96" t="inlineStr">
        <is>
          <t>FRED WFRBST01134 CSV retrieved 2026-08-24; Fed DFA vintage release 2026-06-18 covering through 2026:Q1</t>
        </is>
      </c>
    </row>
    <row r="22" ht="42" customHeight="1" s="58">
      <c r="A22" s="95" t="n">
        <v>46258</v>
      </c>
      <c r="B22" s="100" t="inlineStr">
        <is>
          <t>A.2 Transmission-Mechanism Metr</t>
        </is>
      </c>
      <c r="C22" s="100" t="inlineStr">
        <is>
          <t>I4</t>
        </is>
      </c>
      <c r="D22" s="96" t="n"/>
      <c r="E22" s="96" t="inlineStr">
        <is>
          <t>2024:Q2</t>
        </is>
      </c>
      <c r="F22" s="96" t="inlineStr">
        <is>
          <t>Mapped DFA observation quarter for log date (rule: 15 Mar-&gt;Q4 prior year; 15 Jun-&gt;Q1; 15 Sep-&gt;Q2; 15 Dec-&gt;Q3)</t>
        </is>
      </c>
      <c r="G22" s="96" t="inlineStr">
        <is>
          <t>FRED WFRBST01134 CSV retrieved 2026-08-24; Fed DFA vintage release 2026-06-18 covering through 2026:Q1</t>
        </is>
      </c>
    </row>
    <row r="23" ht="42" customHeight="1" s="58">
      <c r="A23" s="95" t="n">
        <v>46258</v>
      </c>
      <c r="B23" s="100" t="inlineStr">
        <is>
          <t>A.2 Transmission-Mechanism Metr</t>
        </is>
      </c>
      <c r="C23" s="100" t="inlineStr">
        <is>
          <t>J4</t>
        </is>
      </c>
      <c r="D23" s="96" t="n"/>
      <c r="E23" s="96" t="inlineStr">
        <is>
          <t>2026-06-18</t>
        </is>
      </c>
      <c r="F23" s="96" t="inlineStr">
        <is>
          <t>Current vintage release date of the downloaded series (same vintage applied to all historical quarters)</t>
        </is>
      </c>
      <c r="G23" s="96" t="inlineStr">
        <is>
          <t>FRED WFRBST01134 CSV retrieved 2026-08-24; Fed DFA vintage release 2026-06-18 covering through 2026:Q1</t>
        </is>
      </c>
    </row>
    <row r="24" ht="42" customHeight="1" s="58">
      <c r="A24" s="95" t="n">
        <v>46258</v>
      </c>
      <c r="B24" s="100" t="inlineStr">
        <is>
          <t>A.2 Transmission-Mechanism Metr</t>
        </is>
      </c>
      <c r="C24" s="100" t="inlineStr">
        <is>
          <t>K4</t>
        </is>
      </c>
      <c r="D24" s="96" t="n"/>
      <c r="E24" s="96" t="inlineStr">
        <is>
          <t>WFRBST01134</t>
        </is>
      </c>
      <c r="F24" s="96" t="inlineStr">
        <is>
          <t>FRED / DFA series id for Share of Net Worth Held by the Top 1%</t>
        </is>
      </c>
      <c r="G24" s="96" t="inlineStr">
        <is>
          <t>FRED WFRBST01134 CSV retrieved 2026-08-24; Fed DFA vintage release 2026-06-18 covering through 2026:Q1</t>
        </is>
      </c>
    </row>
    <row r="25" ht="42" customHeight="1" s="58">
      <c r="A25" s="95" t="n">
        <v>46258</v>
      </c>
      <c r="B25" s="100" t="inlineStr">
        <is>
          <t>A.2 Transmission-Mechanism Metr</t>
        </is>
      </c>
      <c r="C25" s="100" t="inlineStr">
        <is>
          <t>G5</t>
        </is>
      </c>
      <c r="D25" s="96" t="inlineStr">
        <is>
          <t>Gini 0.88 / 32.3</t>
        </is>
      </c>
      <c r="E25" s="96" t="inlineStr">
        <is>
          <t>Gini 0.88 / 30.9</t>
        </is>
      </c>
      <c r="F25" s="96" t="inlineStr">
        <is>
          <t>Replace non-official / misaligned Top 1% figure with FRED WFRBST01134 net-worth share for the mapped DFA quarter. Gini left unchanged (Gini is NOT a DFA field).</t>
        </is>
      </c>
      <c r="G25" s="96" t="inlineStr">
        <is>
          <t>FRED WFRBST01134 CSV retrieved 2026-08-24; Fed DFA vintage release 2026-06-18 covering through 2026:Q1</t>
        </is>
      </c>
    </row>
    <row r="26" ht="42" customHeight="1" s="58">
      <c r="A26" s="95" t="n">
        <v>46258</v>
      </c>
      <c r="B26" s="100" t="inlineStr">
        <is>
          <t>A.2 Transmission-Mechanism Metr</t>
        </is>
      </c>
      <c r="C26" s="100" t="inlineStr">
        <is>
          <t>H5</t>
        </is>
      </c>
      <c r="D26" s="96" t="n"/>
      <c r="E26" s="96" t="n">
        <v>30.9</v>
      </c>
      <c r="F26" s="96" t="inlineStr">
        <is>
          <t>Official DFA Top 1% net-worth share for 2024:Q3</t>
        </is>
      </c>
      <c r="G26" s="96" t="inlineStr">
        <is>
          <t>FRED WFRBST01134 CSV retrieved 2026-08-24; Fed DFA vintage release 2026-06-18 covering through 2026:Q1</t>
        </is>
      </c>
    </row>
    <row r="27" ht="42" customHeight="1" s="58">
      <c r="A27" s="95" t="n">
        <v>46258</v>
      </c>
      <c r="B27" s="100" t="inlineStr">
        <is>
          <t>A.2 Transmission-Mechanism Metr</t>
        </is>
      </c>
      <c r="C27" s="100" t="inlineStr">
        <is>
          <t>I5</t>
        </is>
      </c>
      <c r="D27" s="96" t="n"/>
      <c r="E27" s="96" t="inlineStr">
        <is>
          <t>2024:Q3</t>
        </is>
      </c>
      <c r="F27" s="96" t="inlineStr">
        <is>
          <t>Mapped DFA observation quarter for log date (rule: 15 Mar-&gt;Q4 prior year; 15 Jun-&gt;Q1; 15 Sep-&gt;Q2; 15 Dec-&gt;Q3)</t>
        </is>
      </c>
      <c r="G27" s="96" t="inlineStr">
        <is>
          <t>FRED WFRBST01134 CSV retrieved 2026-08-24; Fed DFA vintage release 2026-06-18 covering through 2026:Q1</t>
        </is>
      </c>
    </row>
    <row r="28" ht="42" customHeight="1" s="58">
      <c r="A28" s="95" t="n">
        <v>46258</v>
      </c>
      <c r="B28" s="100" t="inlineStr">
        <is>
          <t>A.2 Transmission-Mechanism Metr</t>
        </is>
      </c>
      <c r="C28" s="100" t="inlineStr">
        <is>
          <t>J5</t>
        </is>
      </c>
      <c r="D28" s="96" t="n"/>
      <c r="E28" s="96" t="inlineStr">
        <is>
          <t>2026-06-18</t>
        </is>
      </c>
      <c r="F28" s="96" t="inlineStr">
        <is>
          <t>Current vintage release date of the downloaded series (same vintage applied to all historical quarters)</t>
        </is>
      </c>
      <c r="G28" s="96" t="inlineStr">
        <is>
          <t>FRED WFRBST01134 CSV retrieved 2026-08-24; Fed DFA vintage release 2026-06-18 covering through 2026:Q1</t>
        </is>
      </c>
    </row>
    <row r="29" ht="42" customHeight="1" s="58">
      <c r="A29" s="95" t="n">
        <v>46258</v>
      </c>
      <c r="B29" s="100" t="inlineStr">
        <is>
          <t>A.2 Transmission-Mechanism Metr</t>
        </is>
      </c>
      <c r="C29" s="100" t="inlineStr">
        <is>
          <t>K5</t>
        </is>
      </c>
      <c r="D29" s="96" t="n"/>
      <c r="E29" s="96" t="inlineStr">
        <is>
          <t>WFRBST01134</t>
        </is>
      </c>
      <c r="F29" s="96" t="inlineStr">
        <is>
          <t>FRED / DFA series id for Share of Net Worth Held by the Top 1%</t>
        </is>
      </c>
      <c r="G29" s="96" t="inlineStr">
        <is>
          <t>FRED WFRBST01134 CSV retrieved 2026-08-24; Fed DFA vintage release 2026-06-18 covering through 2026:Q1</t>
        </is>
      </c>
    </row>
    <row r="30" ht="42" customHeight="1" s="58">
      <c r="A30" s="95" t="n">
        <v>46258</v>
      </c>
      <c r="B30" s="100" t="inlineStr">
        <is>
          <t>A.2 Transmission-Mechanism Metr</t>
        </is>
      </c>
      <c r="C30" s="100" t="inlineStr">
        <is>
          <t>G6</t>
        </is>
      </c>
      <c r="D30" s="96" t="inlineStr">
        <is>
          <t>Gini 0.88 / 32.2</t>
        </is>
      </c>
      <c r="E30" s="96" t="inlineStr">
        <is>
          <t>Gini 0.88 / 31.0</t>
        </is>
      </c>
      <c r="F30" s="96" t="inlineStr">
        <is>
          <t>Replace non-official / misaligned Top 1% figure with FRED WFRBST01134 net-worth share for the mapped DFA quarter. Gini left unchanged (Gini is NOT a DFA field).</t>
        </is>
      </c>
      <c r="G30" s="96" t="inlineStr">
        <is>
          <t>FRED WFRBST01134 CSV retrieved 2026-08-24; Fed DFA vintage release 2026-06-18 covering through 2026:Q1</t>
        </is>
      </c>
    </row>
    <row r="31" ht="42" customHeight="1" s="58">
      <c r="A31" s="95" t="n">
        <v>46258</v>
      </c>
      <c r="B31" s="100" t="inlineStr">
        <is>
          <t>A.2 Transmission-Mechanism Metr</t>
        </is>
      </c>
      <c r="C31" s="100" t="inlineStr">
        <is>
          <t>H6</t>
        </is>
      </c>
      <c r="D31" s="96" t="n"/>
      <c r="E31" s="96" t="n">
        <v>31</v>
      </c>
      <c r="F31" s="96" t="inlineStr">
        <is>
          <t>Official DFA Top 1% net-worth share for 2024:Q4</t>
        </is>
      </c>
      <c r="G31" s="96" t="inlineStr">
        <is>
          <t>FRED WFRBST01134 CSV retrieved 2026-08-24; Fed DFA vintage release 2026-06-18 covering through 2026:Q1</t>
        </is>
      </c>
    </row>
    <row r="32" ht="42" customHeight="1" s="58">
      <c r="A32" s="95" t="n">
        <v>46258</v>
      </c>
      <c r="B32" s="100" t="inlineStr">
        <is>
          <t>A.2 Transmission-Mechanism Metr</t>
        </is>
      </c>
      <c r="C32" s="100" t="inlineStr">
        <is>
          <t>I6</t>
        </is>
      </c>
      <c r="D32" s="96" t="n"/>
      <c r="E32" s="96" t="inlineStr">
        <is>
          <t>2024:Q4</t>
        </is>
      </c>
      <c r="F32" s="96" t="inlineStr">
        <is>
          <t>Mapped DFA observation quarter for log date (rule: 15 Mar-&gt;Q4 prior year; 15 Jun-&gt;Q1; 15 Sep-&gt;Q2; 15 Dec-&gt;Q3)</t>
        </is>
      </c>
      <c r="G32" s="96" t="inlineStr">
        <is>
          <t>FRED WFRBST01134 CSV retrieved 2026-08-24; Fed DFA vintage release 2026-06-18 covering through 2026:Q1</t>
        </is>
      </c>
    </row>
    <row r="33" ht="42" customHeight="1" s="58">
      <c r="A33" s="95" t="n">
        <v>46258</v>
      </c>
      <c r="B33" s="100" t="inlineStr">
        <is>
          <t>A.2 Transmission-Mechanism Metr</t>
        </is>
      </c>
      <c r="C33" s="100" t="inlineStr">
        <is>
          <t>J6</t>
        </is>
      </c>
      <c r="D33" s="96" t="n"/>
      <c r="E33" s="96" t="inlineStr">
        <is>
          <t>2026-06-18</t>
        </is>
      </c>
      <c r="F33" s="96" t="inlineStr">
        <is>
          <t>Current vintage release date of the downloaded series (same vintage applied to all historical quarters)</t>
        </is>
      </c>
      <c r="G33" s="96" t="inlineStr">
        <is>
          <t>FRED WFRBST01134 CSV retrieved 2026-08-24; Fed DFA vintage release 2026-06-18 covering through 2026:Q1</t>
        </is>
      </c>
    </row>
    <row r="34" ht="42" customHeight="1" s="58">
      <c r="A34" s="95" t="n">
        <v>46258</v>
      </c>
      <c r="B34" s="100" t="inlineStr">
        <is>
          <t>A.2 Transmission-Mechanism Metr</t>
        </is>
      </c>
      <c r="C34" s="100" t="inlineStr">
        <is>
          <t>K6</t>
        </is>
      </c>
      <c r="D34" s="96" t="n"/>
      <c r="E34" s="96" t="inlineStr">
        <is>
          <t>WFRBST01134</t>
        </is>
      </c>
      <c r="F34" s="96" t="inlineStr">
        <is>
          <t>FRED / DFA series id for Share of Net Worth Held by the Top 1%</t>
        </is>
      </c>
      <c r="G34" s="96" t="inlineStr">
        <is>
          <t>FRED WFRBST01134 CSV retrieved 2026-08-24; Fed DFA vintage release 2026-06-18 covering through 2026:Q1</t>
        </is>
      </c>
    </row>
    <row r="35" ht="42" customHeight="1" s="58">
      <c r="A35" s="95" t="n">
        <v>46258</v>
      </c>
      <c r="B35" s="100" t="inlineStr">
        <is>
          <t>A.2 Transmission-Mechanism Metr</t>
        </is>
      </c>
      <c r="C35" s="100" t="inlineStr">
        <is>
          <t>G7</t>
        </is>
      </c>
      <c r="D35" s="96" t="inlineStr">
        <is>
          <t>Gini 0.87 / 32.0</t>
        </is>
      </c>
      <c r="E35" s="96" t="inlineStr">
        <is>
          <t>Gini 0.87 / 30.9</t>
        </is>
      </c>
      <c r="F35" s="96" t="inlineStr">
        <is>
          <t>Replace non-official / misaligned Top 1% figure with FRED WFRBST01134 net-worth share for the mapped DFA quarter. Gini left unchanged (Gini is NOT a DFA field).</t>
        </is>
      </c>
      <c r="G35" s="96" t="inlineStr">
        <is>
          <t>FRED WFRBST01134 CSV retrieved 2026-08-24; Fed DFA vintage release 2026-06-18 covering through 2026:Q1</t>
        </is>
      </c>
    </row>
    <row r="36" ht="42" customHeight="1" s="58">
      <c r="A36" s="95" t="n">
        <v>46258</v>
      </c>
      <c r="B36" s="100" t="inlineStr">
        <is>
          <t>A.2 Transmission-Mechanism Metr</t>
        </is>
      </c>
      <c r="C36" s="100" t="inlineStr">
        <is>
          <t>H7</t>
        </is>
      </c>
      <c r="D36" s="96" t="n"/>
      <c r="E36" s="96" t="n">
        <v>30.9</v>
      </c>
      <c r="F36" s="96" t="inlineStr">
        <is>
          <t>Official DFA Top 1% net-worth share for 2025:Q1</t>
        </is>
      </c>
      <c r="G36" s="96" t="inlineStr">
        <is>
          <t>FRED WFRBST01134 CSV retrieved 2026-08-24; Fed DFA vintage release 2026-06-18 covering through 2026:Q1</t>
        </is>
      </c>
    </row>
    <row r="37" ht="42" customHeight="1" s="58">
      <c r="A37" s="95" t="n">
        <v>46258</v>
      </c>
      <c r="B37" s="100" t="inlineStr">
        <is>
          <t>A.2 Transmission-Mechanism Metr</t>
        </is>
      </c>
      <c r="C37" s="100" t="inlineStr">
        <is>
          <t>I7</t>
        </is>
      </c>
      <c r="D37" s="96" t="n"/>
      <c r="E37" s="96" t="inlineStr">
        <is>
          <t>2025:Q1</t>
        </is>
      </c>
      <c r="F37" s="96" t="inlineStr">
        <is>
          <t>Mapped DFA observation quarter for log date (rule: 15 Mar-&gt;Q4 prior year; 15 Jun-&gt;Q1; 15 Sep-&gt;Q2; 15 Dec-&gt;Q3)</t>
        </is>
      </c>
      <c r="G37" s="96" t="inlineStr">
        <is>
          <t>FRED WFRBST01134 CSV retrieved 2026-08-24; Fed DFA vintage release 2026-06-18 covering through 2026:Q1</t>
        </is>
      </c>
    </row>
    <row r="38" ht="42" customHeight="1" s="58">
      <c r="A38" s="95" t="n">
        <v>46258</v>
      </c>
      <c r="B38" s="100" t="inlineStr">
        <is>
          <t>A.2 Transmission-Mechanism Metr</t>
        </is>
      </c>
      <c r="C38" s="100" t="inlineStr">
        <is>
          <t>J7</t>
        </is>
      </c>
      <c r="D38" s="96" t="n"/>
      <c r="E38" s="96" t="inlineStr">
        <is>
          <t>2026-06-18</t>
        </is>
      </c>
      <c r="F38" s="96" t="inlineStr">
        <is>
          <t>Current vintage release date of the downloaded series (same vintage applied to all historical quarters)</t>
        </is>
      </c>
      <c r="G38" s="96" t="inlineStr">
        <is>
          <t>FRED WFRBST01134 CSV retrieved 2026-08-24; Fed DFA vintage release 2026-06-18 covering through 2026:Q1</t>
        </is>
      </c>
    </row>
    <row r="39" ht="42" customHeight="1" s="58">
      <c r="A39" s="95" t="n">
        <v>46258</v>
      </c>
      <c r="B39" s="100" t="inlineStr">
        <is>
          <t>A.2 Transmission-Mechanism Metr</t>
        </is>
      </c>
      <c r="C39" s="100" t="inlineStr">
        <is>
          <t>K7</t>
        </is>
      </c>
      <c r="D39" s="96" t="n"/>
      <c r="E39" s="96" t="inlineStr">
        <is>
          <t>WFRBST01134</t>
        </is>
      </c>
      <c r="F39" s="96" t="inlineStr">
        <is>
          <t>FRED / DFA series id for Share of Net Worth Held by the Top 1%</t>
        </is>
      </c>
      <c r="G39" s="96" t="inlineStr">
        <is>
          <t>FRED WFRBST01134 CSV retrieved 2026-08-24; Fed DFA vintage release 2026-06-18 covering through 2026:Q1</t>
        </is>
      </c>
    </row>
    <row r="40" ht="42" customHeight="1" s="58">
      <c r="A40" s="95" t="n">
        <v>46258</v>
      </c>
      <c r="B40" s="100" t="inlineStr">
        <is>
          <t>A.2 Transmission-Mechanism Metr</t>
        </is>
      </c>
      <c r="C40" s="100" t="inlineStr">
        <is>
          <t>G8</t>
        </is>
      </c>
      <c r="D40" s="96" t="inlineStr">
        <is>
          <t>Gini 0.87 / 31.9</t>
        </is>
      </c>
      <c r="E40" s="96" t="inlineStr">
        <is>
          <t>Gini 0.87 / 31.2</t>
        </is>
      </c>
      <c r="F40" s="96" t="inlineStr">
        <is>
          <t>Replace non-official / misaligned Top 1% figure with FRED WFRBST01134 net-worth share for the mapped DFA quarter. Gini left unchanged (Gini is NOT a DFA field).</t>
        </is>
      </c>
      <c r="G40" s="96" t="inlineStr">
        <is>
          <t>FRED WFRBST01134 CSV retrieved 2026-08-24; Fed DFA vintage release 2026-06-18 covering through 2026:Q1</t>
        </is>
      </c>
    </row>
    <row r="41" ht="42" customHeight="1" s="58">
      <c r="A41" s="95" t="n">
        <v>46258</v>
      </c>
      <c r="B41" s="100" t="inlineStr">
        <is>
          <t>A.2 Transmission-Mechanism Metr</t>
        </is>
      </c>
      <c r="C41" s="100" t="inlineStr">
        <is>
          <t>H8</t>
        </is>
      </c>
      <c r="D41" s="96" t="n"/>
      <c r="E41" s="96" t="n">
        <v>31.2</v>
      </c>
      <c r="F41" s="96" t="inlineStr">
        <is>
          <t>Official DFA Top 1% net-worth share for 2025:Q2</t>
        </is>
      </c>
      <c r="G41" s="96" t="inlineStr">
        <is>
          <t>FRED WFRBST01134 CSV retrieved 2026-08-24; Fed DFA vintage release 2026-06-18 covering through 2026:Q1</t>
        </is>
      </c>
    </row>
    <row r="42" ht="42" customHeight="1" s="58">
      <c r="A42" s="95" t="n">
        <v>46258</v>
      </c>
      <c r="B42" s="100" t="inlineStr">
        <is>
          <t>A.2 Transmission-Mechanism Metr</t>
        </is>
      </c>
      <c r="C42" s="100" t="inlineStr">
        <is>
          <t>I8</t>
        </is>
      </c>
      <c r="D42" s="96" t="n"/>
      <c r="E42" s="96" t="inlineStr">
        <is>
          <t>2025:Q2</t>
        </is>
      </c>
      <c r="F42" s="96" t="inlineStr">
        <is>
          <t>Mapped DFA observation quarter for log date (rule: 15 Mar-&gt;Q4 prior year; 15 Jun-&gt;Q1; 15 Sep-&gt;Q2; 15 Dec-&gt;Q3)</t>
        </is>
      </c>
      <c r="G42" s="96" t="inlineStr">
        <is>
          <t>FRED WFRBST01134 CSV retrieved 2026-08-24; Fed DFA vintage release 2026-06-18 covering through 2026:Q1</t>
        </is>
      </c>
    </row>
    <row r="43" ht="42" customHeight="1" s="58">
      <c r="A43" s="95" t="n">
        <v>46258</v>
      </c>
      <c r="B43" s="100" t="inlineStr">
        <is>
          <t>A.2 Transmission-Mechanism Metr</t>
        </is>
      </c>
      <c r="C43" s="100" t="inlineStr">
        <is>
          <t>J8</t>
        </is>
      </c>
      <c r="D43" s="96" t="n"/>
      <c r="E43" s="96" t="inlineStr">
        <is>
          <t>2026-06-18</t>
        </is>
      </c>
      <c r="F43" s="96" t="inlineStr">
        <is>
          <t>Current vintage release date of the downloaded series (same vintage applied to all historical quarters)</t>
        </is>
      </c>
      <c r="G43" s="96" t="inlineStr">
        <is>
          <t>FRED WFRBST01134 CSV retrieved 2026-08-24; Fed DFA vintage release 2026-06-18 covering through 2026:Q1</t>
        </is>
      </c>
    </row>
    <row r="44" ht="42" customHeight="1" s="58">
      <c r="A44" s="95" t="n">
        <v>46258</v>
      </c>
      <c r="B44" s="100" t="inlineStr">
        <is>
          <t>A.2 Transmission-Mechanism Metr</t>
        </is>
      </c>
      <c r="C44" s="100" t="inlineStr">
        <is>
          <t>K8</t>
        </is>
      </c>
      <c r="D44" s="96" t="n"/>
      <c r="E44" s="96" t="inlineStr">
        <is>
          <t>WFRBST01134</t>
        </is>
      </c>
      <c r="F44" s="96" t="inlineStr">
        <is>
          <t>FRED / DFA series id for Share of Net Worth Held by the Top 1%</t>
        </is>
      </c>
      <c r="G44" s="96" t="inlineStr">
        <is>
          <t>FRED WFRBST01134 CSV retrieved 2026-08-24; Fed DFA vintage release 2026-06-18 covering through 2026:Q1</t>
        </is>
      </c>
    </row>
    <row r="45" ht="42" customHeight="1" s="58">
      <c r="A45" s="95" t="n">
        <v>46258</v>
      </c>
      <c r="B45" s="100" t="inlineStr">
        <is>
          <t>A.2 Transmission-Mechanism Metr</t>
        </is>
      </c>
      <c r="C45" s="100" t="inlineStr">
        <is>
          <t>G9</t>
        </is>
      </c>
      <c r="D45" s="96" t="inlineStr">
        <is>
          <t>Gini 0.86 / Top 1 % 32.1</t>
        </is>
      </c>
      <c r="E45" s="96" t="inlineStr">
        <is>
          <t>Gini 0.86 / Top 1 % 31.6</t>
        </is>
      </c>
      <c r="F45" s="96" t="inlineStr">
        <is>
          <t>Replace non-official / misaligned Top 1% figure with FRED WFRBST01134 net-worth share for the mapped DFA quarter. Gini left unchanged (Gini is NOT a DFA field).</t>
        </is>
      </c>
      <c r="G45" s="96" t="inlineStr">
        <is>
          <t>FRED WFRBST01134 CSV retrieved 2026-08-24; Fed DFA vintage release 2026-06-18 covering through 2026:Q1</t>
        </is>
      </c>
    </row>
    <row r="46" ht="42" customHeight="1" s="58">
      <c r="A46" s="95" t="n">
        <v>46258</v>
      </c>
      <c r="B46" s="100" t="inlineStr">
        <is>
          <t>A.2 Transmission-Mechanism Metr</t>
        </is>
      </c>
      <c r="C46" s="100" t="inlineStr">
        <is>
          <t>H9</t>
        </is>
      </c>
      <c r="D46" s="96" t="n"/>
      <c r="E46" s="96" t="n">
        <v>31.6</v>
      </c>
      <c r="F46" s="96" t="inlineStr">
        <is>
          <t>Official DFA Top 1% net-worth share for 2025:Q3</t>
        </is>
      </c>
      <c r="G46" s="96" t="inlineStr">
        <is>
          <t>FRED WFRBST01134 CSV retrieved 2026-08-24; Fed DFA vintage release 2026-06-18 covering through 2026:Q1</t>
        </is>
      </c>
    </row>
    <row r="47" ht="42" customHeight="1" s="58">
      <c r="A47" s="95" t="n">
        <v>46258</v>
      </c>
      <c r="B47" s="100" t="inlineStr">
        <is>
          <t>A.2 Transmission-Mechanism Metr</t>
        </is>
      </c>
      <c r="C47" s="100" t="inlineStr">
        <is>
          <t>I9</t>
        </is>
      </c>
      <c r="D47" s="96" t="n"/>
      <c r="E47" s="96" t="inlineStr">
        <is>
          <t>2025:Q3</t>
        </is>
      </c>
      <c r="F47" s="96" t="inlineStr">
        <is>
          <t>Mapped DFA observation quarter for log date (rule: 15 Mar-&gt;Q4 prior year; 15 Jun-&gt;Q1; 15 Sep-&gt;Q2; 15 Dec-&gt;Q3)</t>
        </is>
      </c>
      <c r="G47" s="96" t="inlineStr">
        <is>
          <t>FRED WFRBST01134 CSV retrieved 2026-08-24; Fed DFA vintage release 2026-06-18 covering through 2026:Q1</t>
        </is>
      </c>
    </row>
    <row r="48" ht="42" customHeight="1" s="58">
      <c r="A48" s="95" t="n">
        <v>46258</v>
      </c>
      <c r="B48" s="100" t="inlineStr">
        <is>
          <t>A.2 Transmission-Mechanism Metr</t>
        </is>
      </c>
      <c r="C48" s="100" t="inlineStr">
        <is>
          <t>J9</t>
        </is>
      </c>
      <c r="D48" s="96" t="n"/>
      <c r="E48" s="96" t="inlineStr">
        <is>
          <t>2026-06-18</t>
        </is>
      </c>
      <c r="F48" s="96" t="inlineStr">
        <is>
          <t>Current vintage release date of the downloaded series (same vintage applied to all historical quarters)</t>
        </is>
      </c>
      <c r="G48" s="96" t="inlineStr">
        <is>
          <t>FRED WFRBST01134 CSV retrieved 2026-08-24; Fed DFA vintage release 2026-06-18 covering through 2026:Q1</t>
        </is>
      </c>
    </row>
    <row r="49" ht="42" customHeight="1" s="58">
      <c r="A49" s="95" t="n">
        <v>46258</v>
      </c>
      <c r="B49" s="100" t="inlineStr">
        <is>
          <t>A.2 Transmission-Mechanism Metr</t>
        </is>
      </c>
      <c r="C49" s="100" t="inlineStr">
        <is>
          <t>K9</t>
        </is>
      </c>
      <c r="D49" s="96" t="n"/>
      <c r="E49" s="96" t="inlineStr">
        <is>
          <t>WFRBST01134</t>
        </is>
      </c>
      <c r="F49" s="96" t="inlineStr">
        <is>
          <t>FRED / DFA series id for Share of Net Worth Held by the Top 1%</t>
        </is>
      </c>
      <c r="G49" s="96" t="inlineStr">
        <is>
          <t>FRED WFRBST01134 CSV retrieved 2026-08-24; Fed DFA vintage release 2026-06-18 covering through 2026:Q1</t>
        </is>
      </c>
    </row>
    <row r="50" ht="42" customHeight="1" s="58">
      <c r="A50" s="95" t="n">
        <v>46258</v>
      </c>
      <c r="B50" s="100" t="inlineStr">
        <is>
          <t>A.2 Transmission-Mechanism Metr</t>
        </is>
      </c>
      <c r="C50" s="100" t="inlineStr">
        <is>
          <t>G10</t>
        </is>
      </c>
      <c r="D50" s="96" t="inlineStr">
        <is>
          <t>Gini 0.86 / Top 1 % 31.4</t>
        </is>
      </c>
      <c r="E50" s="96" t="inlineStr">
        <is>
          <t>Gini 0.86 / Top 1 % 31.8</t>
        </is>
      </c>
      <c r="F50" s="96" t="inlineStr">
        <is>
          <t>Replace non-official / misaligned Top 1% figure with FRED WFRBST01134 net-worth share for the mapped DFA quarter. Gini left unchanged (Gini is NOT a DFA field).</t>
        </is>
      </c>
      <c r="G50" s="96" t="inlineStr">
        <is>
          <t>FRED WFRBST01134 CSV retrieved 2026-08-24; Fed DFA vintage release 2026-06-18 covering through 2026:Q1</t>
        </is>
      </c>
    </row>
    <row r="51" ht="42" customHeight="1" s="58">
      <c r="A51" s="95" t="n">
        <v>46258</v>
      </c>
      <c r="B51" s="100" t="inlineStr">
        <is>
          <t>A.2 Transmission-Mechanism Metr</t>
        </is>
      </c>
      <c r="C51" s="100" t="inlineStr">
        <is>
          <t>H10</t>
        </is>
      </c>
      <c r="D51" s="96" t="n"/>
      <c r="E51" s="96" t="n">
        <v>31.8</v>
      </c>
      <c r="F51" s="96" t="inlineStr">
        <is>
          <t>Official DFA Top 1% net-worth share for 2025:Q4</t>
        </is>
      </c>
      <c r="G51" s="96" t="inlineStr">
        <is>
          <t>FRED WFRBST01134 CSV retrieved 2026-08-24; Fed DFA vintage release 2026-06-18 covering through 2026:Q1</t>
        </is>
      </c>
    </row>
    <row r="52" ht="42" customHeight="1" s="58">
      <c r="A52" s="95" t="n">
        <v>46258</v>
      </c>
      <c r="B52" s="100" t="inlineStr">
        <is>
          <t>A.2 Transmission-Mechanism Metr</t>
        </is>
      </c>
      <c r="C52" s="100" t="inlineStr">
        <is>
          <t>I10</t>
        </is>
      </c>
      <c r="D52" s="96" t="n"/>
      <c r="E52" s="96" t="inlineStr">
        <is>
          <t>2025:Q4</t>
        </is>
      </c>
      <c r="F52" s="96" t="inlineStr">
        <is>
          <t>Mapped DFA observation quarter for log date (rule: 15 Mar-&gt;Q4 prior year; 15 Jun-&gt;Q1; 15 Sep-&gt;Q2; 15 Dec-&gt;Q3)</t>
        </is>
      </c>
      <c r="G52" s="96" t="inlineStr">
        <is>
          <t>FRED WFRBST01134 CSV retrieved 2026-08-24; Fed DFA vintage release 2026-06-18 covering through 2026:Q1</t>
        </is>
      </c>
    </row>
    <row r="53" ht="42" customHeight="1" s="58">
      <c r="A53" s="95" t="n">
        <v>46258</v>
      </c>
      <c r="B53" s="100" t="inlineStr">
        <is>
          <t>A.2 Transmission-Mechanism Metr</t>
        </is>
      </c>
      <c r="C53" s="100" t="inlineStr">
        <is>
          <t>J10</t>
        </is>
      </c>
      <c r="D53" s="96" t="n"/>
      <c r="E53" s="96" t="inlineStr">
        <is>
          <t>2026-06-18</t>
        </is>
      </c>
      <c r="F53" s="96" t="inlineStr">
        <is>
          <t>Current vintage release date of the downloaded series (same vintage applied to all historical quarters)</t>
        </is>
      </c>
      <c r="G53" s="96" t="inlineStr">
        <is>
          <t>FRED WFRBST01134 CSV retrieved 2026-08-24; Fed DFA vintage release 2026-06-18 covering through 2026:Q1</t>
        </is>
      </c>
    </row>
    <row r="54" ht="42" customHeight="1" s="58">
      <c r="A54" s="95" t="n">
        <v>46258</v>
      </c>
      <c r="B54" s="100" t="inlineStr">
        <is>
          <t>A.2 Transmission-Mechanism Metr</t>
        </is>
      </c>
      <c r="C54" s="100" t="inlineStr">
        <is>
          <t>K10</t>
        </is>
      </c>
      <c r="D54" s="96" t="n"/>
      <c r="E54" s="96" t="inlineStr">
        <is>
          <t>WFRBST01134</t>
        </is>
      </c>
      <c r="F54" s="96" t="inlineStr">
        <is>
          <t>FRED / DFA series id for Share of Net Worth Held by the Top 1%</t>
        </is>
      </c>
      <c r="G54" s="96" t="inlineStr">
        <is>
          <t>FRED WFRBST01134 CSV retrieved 2026-08-24; Fed DFA vintage release 2026-06-18 covering through 2026:Q1</t>
        </is>
      </c>
    </row>
    <row r="55" ht="42" customHeight="1" s="58">
      <c r="A55" s="95" t="n">
        <v>46258</v>
      </c>
      <c r="B55" s="100" t="inlineStr">
        <is>
          <t>A.2 Transmission-Mechanism Metr</t>
        </is>
      </c>
      <c r="C55" s="100" t="inlineStr">
        <is>
          <t>G11</t>
        </is>
      </c>
      <c r="D55" s="96" t="inlineStr">
        <is>
          <t>Gini 0.86 / Top 1 % 31.2</t>
        </is>
      </c>
      <c r="E55" s="96" t="inlineStr">
        <is>
          <t>Gini 0.86 / Top 1 % 31.6</t>
        </is>
      </c>
      <c r="F55" s="96" t="inlineStr">
        <is>
          <t>Replace non-official / misaligned Top 1% figure with FRED WFRBST01134 net-worth share for the mapped DFA quarter. Gini left unchanged (Gini is NOT a DFA field).</t>
        </is>
      </c>
      <c r="G55" s="96" t="inlineStr">
        <is>
          <t>FRED WFRBST01134 CSV retrieved 2026-08-24; Fed DFA vintage release 2026-06-18 covering through 2026:Q1</t>
        </is>
      </c>
    </row>
    <row r="56" ht="42" customHeight="1" s="58">
      <c r="A56" s="95" t="n">
        <v>46258</v>
      </c>
      <c r="B56" s="100" t="inlineStr">
        <is>
          <t>A.2 Transmission-Mechanism Metr</t>
        </is>
      </c>
      <c r="C56" s="100" t="inlineStr">
        <is>
          <t>H11</t>
        </is>
      </c>
      <c r="D56" s="96" t="n"/>
      <c r="E56" s="96" t="n">
        <v>31.6</v>
      </c>
      <c r="F56" s="96" t="inlineStr">
        <is>
          <t>Official DFA Top 1% net-worth share for 2026:Q1</t>
        </is>
      </c>
      <c r="G56" s="96" t="inlineStr">
        <is>
          <t>FRED WFRBST01134 CSV retrieved 2026-08-24; Fed DFA vintage release 2026-06-18 covering through 2026:Q1</t>
        </is>
      </c>
    </row>
    <row r="57" ht="42" customHeight="1" s="58">
      <c r="A57" s="95" t="n">
        <v>46258</v>
      </c>
      <c r="B57" s="100" t="inlineStr">
        <is>
          <t>A.2 Transmission-Mechanism Metr</t>
        </is>
      </c>
      <c r="C57" s="100" t="inlineStr">
        <is>
          <t>I11</t>
        </is>
      </c>
      <c r="D57" s="96" t="n"/>
      <c r="E57" s="96" t="inlineStr">
        <is>
          <t>2026:Q1</t>
        </is>
      </c>
      <c r="F57" s="96" t="inlineStr">
        <is>
          <t>Mapped DFA observation quarter for log date (rule: 15 Mar-&gt;Q4 prior year; 15 Jun-&gt;Q1; 15 Sep-&gt;Q2; 15 Dec-&gt;Q3)</t>
        </is>
      </c>
      <c r="G57" s="96" t="inlineStr">
        <is>
          <t>FRED WFRBST01134 CSV retrieved 2026-08-24; Fed DFA vintage release 2026-06-18 covering through 2026:Q1</t>
        </is>
      </c>
    </row>
    <row r="58" ht="42" customHeight="1" s="58">
      <c r="A58" s="95" t="n">
        <v>46258</v>
      </c>
      <c r="B58" s="100" t="inlineStr">
        <is>
          <t>A.2 Transmission-Mechanism Metr</t>
        </is>
      </c>
      <c r="C58" s="100" t="inlineStr">
        <is>
          <t>J11</t>
        </is>
      </c>
      <c r="D58" s="96" t="n"/>
      <c r="E58" s="96" t="inlineStr">
        <is>
          <t>2026-06-18</t>
        </is>
      </c>
      <c r="F58" s="96" t="inlineStr">
        <is>
          <t>Current vintage release date of the downloaded series (same vintage applied to all historical quarters)</t>
        </is>
      </c>
      <c r="G58" s="96" t="inlineStr">
        <is>
          <t>FRED WFRBST01134 CSV retrieved 2026-08-24; Fed DFA vintage release 2026-06-18 covering through 2026:Q1</t>
        </is>
      </c>
    </row>
    <row r="59" ht="42" customHeight="1" s="58">
      <c r="A59" s="95" t="n">
        <v>46258</v>
      </c>
      <c r="B59" s="100" t="inlineStr">
        <is>
          <t>A.2 Transmission-Mechanism Metr</t>
        </is>
      </c>
      <c r="C59" s="100" t="inlineStr">
        <is>
          <t>K11</t>
        </is>
      </c>
      <c r="D59" s="96" t="n"/>
      <c r="E59" s="96" t="inlineStr">
        <is>
          <t>WFRBST01134</t>
        </is>
      </c>
      <c r="F59" s="96" t="inlineStr">
        <is>
          <t>FRED / DFA series id for Share of Net Worth Held by the Top 1%</t>
        </is>
      </c>
      <c r="G59" s="96" t="inlineStr">
        <is>
          <t>FRED WFRBST01134 CSV retrieved 2026-08-24; Fed DFA vintage release 2026-06-18 covering through 2026:Q1</t>
        </is>
      </c>
    </row>
    <row r="60" ht="42" customHeight="1" s="58">
      <c r="A60" s="95" t="n">
        <v>46258</v>
      </c>
      <c r="B60" s="100" t="inlineStr">
        <is>
          <t>A.4 Forward Metric Tracking</t>
        </is>
      </c>
      <c r="C60" s="100" t="inlineStr">
        <is>
          <t>H1</t>
        </is>
      </c>
      <c r="D60" s="96" t="n"/>
      <c r="E60" s="96" t="inlineStr">
        <is>
          <t>DFA quarter</t>
        </is>
      </c>
      <c r="F60" s="96" t="inlineStr">
        <is>
          <t>New header for DFA vintage field (appended after last used column)</t>
        </is>
      </c>
      <c r="G60" s="96" t="inlineStr">
        <is>
          <t>FRED WFRBST01134 CSV retrieved 2026-08-24; Fed DFA vintage release 2026-06-18 covering through 2026:Q1</t>
        </is>
      </c>
    </row>
    <row r="61" ht="42" customHeight="1" s="58">
      <c r="A61" s="95" t="n">
        <v>46258</v>
      </c>
      <c r="B61" s="100" t="inlineStr">
        <is>
          <t>A.4 Forward Metric Tracking</t>
        </is>
      </c>
      <c r="C61" s="100" t="inlineStr">
        <is>
          <t>I1</t>
        </is>
      </c>
      <c r="D61" s="96" t="n"/>
      <c r="E61" s="96" t="inlineStr">
        <is>
          <t>DFA release date</t>
        </is>
      </c>
      <c r="F61" s="96" t="inlineStr">
        <is>
          <t>New header for DFA vintage field (appended after last used column)</t>
        </is>
      </c>
      <c r="G61" s="96" t="inlineStr">
        <is>
          <t>FRED WFRBST01134 CSV retrieved 2026-08-24; Fed DFA vintage release 2026-06-18 covering through 2026:Q1</t>
        </is>
      </c>
    </row>
    <row r="62" ht="42" customHeight="1" s="58">
      <c r="A62" s="95" t="n">
        <v>46258</v>
      </c>
      <c r="B62" s="100" t="inlineStr">
        <is>
          <t>A.4 Forward Metric Tracking</t>
        </is>
      </c>
      <c r="C62" s="100" t="inlineStr">
        <is>
          <t>J1</t>
        </is>
      </c>
      <c r="D62" s="96" t="n"/>
      <c r="E62" s="96" t="inlineStr">
        <is>
          <t>DFA series</t>
        </is>
      </c>
      <c r="F62" s="96" t="inlineStr">
        <is>
          <t>New header for DFA vintage field (appended after last used column)</t>
        </is>
      </c>
      <c r="G62" s="96" t="inlineStr">
        <is>
          <t>FRED WFRBST01134 CSV retrieved 2026-08-24; Fed DFA vintage release 2026-06-18 covering through 2026:Q1</t>
        </is>
      </c>
    </row>
    <row r="63" ht="42" customHeight="1" s="58">
      <c r="A63" s="95" t="n">
        <v>46258</v>
      </c>
      <c r="B63" s="100" t="inlineStr">
        <is>
          <t>A.4 Forward Metric Tracking</t>
        </is>
      </c>
      <c r="C63" s="100" t="inlineStr">
        <is>
          <t>D2</t>
        </is>
      </c>
      <c r="D63" s="96" t="n">
        <v>32.6</v>
      </c>
      <c r="E63" s="96" t="n">
        <v>30.3</v>
      </c>
      <c r="F63" s="96" t="inlineStr">
        <is>
          <t>Replace non-official Top 1% wealth share with FRED WFRBST01134 net-worth share for the mapped DFA quarter so A.4 matches A.2.</t>
        </is>
      </c>
      <c r="G63" s="96" t="inlineStr">
        <is>
          <t>FRED WFRBST01134 CSV retrieved 2026-08-24; Fed DFA vintage release 2026-06-18 covering through 2026:Q1</t>
        </is>
      </c>
    </row>
    <row r="64" ht="42" customHeight="1" s="58">
      <c r="A64" s="95" t="n">
        <v>46258</v>
      </c>
      <c r="B64" s="100" t="inlineStr">
        <is>
          <t>A.4 Forward Metric Tracking</t>
        </is>
      </c>
      <c r="C64" s="100" t="inlineStr">
        <is>
          <t>H2</t>
        </is>
      </c>
      <c r="D64" s="96" t="n"/>
      <c r="E64" s="96" t="inlineStr">
        <is>
          <t>2023:Q4</t>
        </is>
      </c>
      <c r="F64" s="96" t="inlineStr">
        <is>
          <t>Mapped DFA observation quarter (same rule as A.2)</t>
        </is>
      </c>
      <c r="G64" s="96" t="inlineStr">
        <is>
          <t>FRED WFRBST01134 CSV retrieved 2026-08-24; Fed DFA vintage release 2026-06-18 covering through 2026:Q1</t>
        </is>
      </c>
    </row>
    <row r="65" ht="42" customHeight="1" s="58">
      <c r="A65" s="95" t="n">
        <v>46258</v>
      </c>
      <c r="B65" s="100" t="inlineStr">
        <is>
          <t>A.4 Forward Metric Tracking</t>
        </is>
      </c>
      <c r="C65" s="100" t="inlineStr">
        <is>
          <t>I2</t>
        </is>
      </c>
      <c r="D65" s="96" t="n"/>
      <c r="E65" s="96" t="inlineStr">
        <is>
          <t>2026-06-18</t>
        </is>
      </c>
      <c r="F65" s="96" t="inlineStr">
        <is>
          <t>Current vintage release date of the downloaded series (same vintage applied to all historical quarters)</t>
        </is>
      </c>
      <c r="G65" s="96" t="inlineStr">
        <is>
          <t>FRED WFRBST01134 CSV retrieved 2026-08-24; Fed DFA vintage release 2026-06-18 covering through 2026:Q1</t>
        </is>
      </c>
    </row>
    <row r="66" ht="42" customHeight="1" s="58">
      <c r="A66" s="95" t="n">
        <v>46258</v>
      </c>
      <c r="B66" s="100" t="inlineStr">
        <is>
          <t>A.4 Forward Metric Tracking</t>
        </is>
      </c>
      <c r="C66" s="100" t="inlineStr">
        <is>
          <t>J2</t>
        </is>
      </c>
      <c r="D66" s="96" t="n"/>
      <c r="E66" s="96" t="inlineStr">
        <is>
          <t>WFRBST01134</t>
        </is>
      </c>
      <c r="F66" s="96" t="inlineStr">
        <is>
          <t>FRED / DFA series id for Share of Net Worth Held by the Top 1%</t>
        </is>
      </c>
      <c r="G66" s="96" t="inlineStr">
        <is>
          <t>FRED WFRBST01134 CSV retrieved 2026-08-24; Fed DFA vintage release 2026-06-18 covering through 2026:Q1</t>
        </is>
      </c>
    </row>
    <row r="67" ht="42" customHeight="1" s="58">
      <c r="A67" s="95" t="n">
        <v>46258</v>
      </c>
      <c r="B67" s="100" t="inlineStr">
        <is>
          <t>A.4 Forward Metric Tracking</t>
        </is>
      </c>
      <c r="C67" s="100" t="inlineStr">
        <is>
          <t>D3</t>
        </is>
      </c>
      <c r="D67" s="96" t="n">
        <v>32.5</v>
      </c>
      <c r="E67" s="96" t="n">
        <v>30.6</v>
      </c>
      <c r="F67" s="96" t="inlineStr">
        <is>
          <t>Replace non-official Top 1% wealth share with FRED WFRBST01134 net-worth share for the mapped DFA quarter so A.4 matches A.2.</t>
        </is>
      </c>
      <c r="G67" s="96" t="inlineStr">
        <is>
          <t>FRED WFRBST01134 CSV retrieved 2026-08-24; Fed DFA vintage release 2026-06-18 covering through 2026:Q1</t>
        </is>
      </c>
    </row>
    <row r="68" ht="42" customHeight="1" s="58">
      <c r="A68" s="95" t="n">
        <v>46258</v>
      </c>
      <c r="B68" s="100" t="inlineStr">
        <is>
          <t>A.4 Forward Metric Tracking</t>
        </is>
      </c>
      <c r="C68" s="100" t="inlineStr">
        <is>
          <t>H3</t>
        </is>
      </c>
      <c r="D68" s="96" t="n"/>
      <c r="E68" s="96" t="inlineStr">
        <is>
          <t>2024:Q1</t>
        </is>
      </c>
      <c r="F68" s="96" t="inlineStr">
        <is>
          <t>Mapped DFA observation quarter (same rule as A.2)</t>
        </is>
      </c>
      <c r="G68" s="96" t="inlineStr">
        <is>
          <t>FRED WFRBST01134 CSV retrieved 2026-08-24; Fed DFA vintage release 2026-06-18 covering through 2026:Q1</t>
        </is>
      </c>
    </row>
    <row r="69" ht="42" customHeight="1" s="58">
      <c r="A69" s="95" t="n">
        <v>46258</v>
      </c>
      <c r="B69" s="100" t="inlineStr">
        <is>
          <t>A.4 Forward Metric Tracking</t>
        </is>
      </c>
      <c r="C69" s="100" t="inlineStr">
        <is>
          <t>I3</t>
        </is>
      </c>
      <c r="D69" s="96" t="n"/>
      <c r="E69" s="96" t="inlineStr">
        <is>
          <t>2026-06-18</t>
        </is>
      </c>
      <c r="F69" s="96" t="inlineStr">
        <is>
          <t>Current vintage release date of the downloaded series (same vintage applied to all historical quarters)</t>
        </is>
      </c>
      <c r="G69" s="96" t="inlineStr">
        <is>
          <t>FRED WFRBST01134 CSV retrieved 2026-08-24; Fed DFA vintage release 2026-06-18 covering through 2026:Q1</t>
        </is>
      </c>
    </row>
    <row r="70" ht="42" customHeight="1" s="58">
      <c r="A70" s="95" t="n">
        <v>46258</v>
      </c>
      <c r="B70" s="100" t="inlineStr">
        <is>
          <t>A.4 Forward Metric Tracking</t>
        </is>
      </c>
      <c r="C70" s="100" t="inlineStr">
        <is>
          <t>J3</t>
        </is>
      </c>
      <c r="D70" s="96" t="n"/>
      <c r="E70" s="96" t="inlineStr">
        <is>
          <t>WFRBST01134</t>
        </is>
      </c>
      <c r="F70" s="96" t="inlineStr">
        <is>
          <t>FRED / DFA series id for Share of Net Worth Held by the Top 1%</t>
        </is>
      </c>
      <c r="G70" s="96" t="inlineStr">
        <is>
          <t>FRED WFRBST01134 CSV retrieved 2026-08-24; Fed DFA vintage release 2026-06-18 covering through 2026:Q1</t>
        </is>
      </c>
    </row>
    <row r="71" ht="42" customHeight="1" s="58">
      <c r="A71" s="95" t="n">
        <v>46258</v>
      </c>
      <c r="B71" s="100" t="inlineStr">
        <is>
          <t>A.4 Forward Metric Tracking</t>
        </is>
      </c>
      <c r="C71" s="100" t="inlineStr">
        <is>
          <t>D4</t>
        </is>
      </c>
      <c r="D71" s="96" t="n">
        <v>32.4</v>
      </c>
      <c r="E71" s="96" t="n">
        <v>30.5</v>
      </c>
      <c r="F71" s="96" t="inlineStr">
        <is>
          <t>Replace non-official Top 1% wealth share with FRED WFRBST01134 net-worth share for the mapped DFA quarter so A.4 matches A.2.</t>
        </is>
      </c>
      <c r="G71" s="96" t="inlineStr">
        <is>
          <t>FRED WFRBST01134 CSV retrieved 2026-08-24; Fed DFA vintage release 2026-06-18 covering through 2026:Q1</t>
        </is>
      </c>
    </row>
    <row r="72" ht="42" customHeight="1" s="58">
      <c r="A72" s="95" t="n">
        <v>46258</v>
      </c>
      <c r="B72" s="100" t="inlineStr">
        <is>
          <t>A.4 Forward Metric Tracking</t>
        </is>
      </c>
      <c r="C72" s="100" t="inlineStr">
        <is>
          <t>H4</t>
        </is>
      </c>
      <c r="D72" s="96" t="n"/>
      <c r="E72" s="96" t="inlineStr">
        <is>
          <t>2024:Q2</t>
        </is>
      </c>
      <c r="F72" s="96" t="inlineStr">
        <is>
          <t>Mapped DFA observation quarter (same rule as A.2)</t>
        </is>
      </c>
      <c r="G72" s="96" t="inlineStr">
        <is>
          <t>FRED WFRBST01134 CSV retrieved 2026-08-24; Fed DFA vintage release 2026-06-18 covering through 2026:Q1</t>
        </is>
      </c>
    </row>
    <row r="73" ht="42" customHeight="1" s="58">
      <c r="A73" s="95" t="n">
        <v>46258</v>
      </c>
      <c r="B73" s="100" t="inlineStr">
        <is>
          <t>A.4 Forward Metric Tracking</t>
        </is>
      </c>
      <c r="C73" s="100" t="inlineStr">
        <is>
          <t>I4</t>
        </is>
      </c>
      <c r="D73" s="96" t="n"/>
      <c r="E73" s="96" t="inlineStr">
        <is>
          <t>2026-06-18</t>
        </is>
      </c>
      <c r="F73" s="96" t="inlineStr">
        <is>
          <t>Current vintage release date of the downloaded series (same vintage applied to all historical quarters)</t>
        </is>
      </c>
      <c r="G73" s="96" t="inlineStr">
        <is>
          <t>FRED WFRBST01134 CSV retrieved 2026-08-24; Fed DFA vintage release 2026-06-18 covering through 2026:Q1</t>
        </is>
      </c>
    </row>
    <row r="74" ht="42" customHeight="1" s="58">
      <c r="A74" s="95" t="n">
        <v>46258</v>
      </c>
      <c r="B74" s="100" t="inlineStr">
        <is>
          <t>A.4 Forward Metric Tracking</t>
        </is>
      </c>
      <c r="C74" s="100" t="inlineStr">
        <is>
          <t>J4</t>
        </is>
      </c>
      <c r="D74" s="96" t="n"/>
      <c r="E74" s="96" t="inlineStr">
        <is>
          <t>WFRBST01134</t>
        </is>
      </c>
      <c r="F74" s="96" t="inlineStr">
        <is>
          <t>FRED / DFA series id for Share of Net Worth Held by the Top 1%</t>
        </is>
      </c>
      <c r="G74" s="96" t="inlineStr">
        <is>
          <t>FRED WFRBST01134 CSV retrieved 2026-08-24; Fed DFA vintage release 2026-06-18 covering through 2026:Q1</t>
        </is>
      </c>
    </row>
    <row r="75" ht="42" customHeight="1" s="58">
      <c r="A75" s="95" t="n">
        <v>46258</v>
      </c>
      <c r="B75" s="100" t="inlineStr">
        <is>
          <t>A.4 Forward Metric Tracking</t>
        </is>
      </c>
      <c r="C75" s="100" t="inlineStr">
        <is>
          <t>D5</t>
        </is>
      </c>
      <c r="D75" s="96" t="n">
        <v>32.3</v>
      </c>
      <c r="E75" s="96" t="n">
        <v>30.9</v>
      </c>
      <c r="F75" s="96" t="inlineStr">
        <is>
          <t>Replace non-official Top 1% wealth share with FRED WFRBST01134 net-worth share for the mapped DFA quarter so A.4 matches A.2.</t>
        </is>
      </c>
      <c r="G75" s="96" t="inlineStr">
        <is>
          <t>FRED WFRBST01134 CSV retrieved 2026-08-24; Fed DFA vintage release 2026-06-18 covering through 2026:Q1</t>
        </is>
      </c>
    </row>
    <row r="76" ht="42" customHeight="1" s="58">
      <c r="A76" s="95" t="n">
        <v>46258</v>
      </c>
      <c r="B76" s="100" t="inlineStr">
        <is>
          <t>A.4 Forward Metric Tracking</t>
        </is>
      </c>
      <c r="C76" s="100" t="inlineStr">
        <is>
          <t>H5</t>
        </is>
      </c>
      <c r="D76" s="96" t="n"/>
      <c r="E76" s="96" t="inlineStr">
        <is>
          <t>2024:Q3</t>
        </is>
      </c>
      <c r="F76" s="96" t="inlineStr">
        <is>
          <t>Mapped DFA observation quarter (same rule as A.2)</t>
        </is>
      </c>
      <c r="G76" s="96" t="inlineStr">
        <is>
          <t>FRED WFRBST01134 CSV retrieved 2026-08-24; Fed DFA vintage release 2026-06-18 covering through 2026:Q1</t>
        </is>
      </c>
    </row>
    <row r="77" ht="42" customHeight="1" s="58">
      <c r="A77" s="95" t="n">
        <v>46258</v>
      </c>
      <c r="B77" s="100" t="inlineStr">
        <is>
          <t>A.4 Forward Metric Tracking</t>
        </is>
      </c>
      <c r="C77" s="100" t="inlineStr">
        <is>
          <t>I5</t>
        </is>
      </c>
      <c r="D77" s="96" t="n"/>
      <c r="E77" s="96" t="inlineStr">
        <is>
          <t>2026-06-18</t>
        </is>
      </c>
      <c r="F77" s="96" t="inlineStr">
        <is>
          <t>Current vintage release date of the downloaded series (same vintage applied to all historical quarters)</t>
        </is>
      </c>
      <c r="G77" s="96" t="inlineStr">
        <is>
          <t>FRED WFRBST01134 CSV retrieved 2026-08-24; Fed DFA vintage release 2026-06-18 covering through 2026:Q1</t>
        </is>
      </c>
    </row>
    <row r="78" ht="42" customHeight="1" s="58">
      <c r="A78" s="95" t="n">
        <v>46258</v>
      </c>
      <c r="B78" s="100" t="inlineStr">
        <is>
          <t>A.4 Forward Metric Tracking</t>
        </is>
      </c>
      <c r="C78" s="100" t="inlineStr">
        <is>
          <t>J5</t>
        </is>
      </c>
      <c r="D78" s="96" t="n"/>
      <c r="E78" s="96" t="inlineStr">
        <is>
          <t>WFRBST01134</t>
        </is>
      </c>
      <c r="F78" s="96" t="inlineStr">
        <is>
          <t>FRED / DFA series id for Share of Net Worth Held by the Top 1%</t>
        </is>
      </c>
      <c r="G78" s="96" t="inlineStr">
        <is>
          <t>FRED WFRBST01134 CSV retrieved 2026-08-24; Fed DFA vintage release 2026-06-18 covering through 2026:Q1</t>
        </is>
      </c>
    </row>
    <row r="79" ht="42" customHeight="1" s="58">
      <c r="A79" s="95" t="n">
        <v>46258</v>
      </c>
      <c r="B79" s="100" t="inlineStr">
        <is>
          <t>A.4 Forward Metric Tracking</t>
        </is>
      </c>
      <c r="C79" s="100" t="inlineStr">
        <is>
          <t>D6</t>
        </is>
      </c>
      <c r="D79" s="96" t="n">
        <v>32.1</v>
      </c>
      <c r="E79" s="96" t="n">
        <v>31</v>
      </c>
      <c r="F79" s="96" t="inlineStr">
        <is>
          <t>Replace non-official Top 1% wealth share with FRED WFRBST01134 net-worth share for the mapped DFA quarter so A.4 matches A.2.</t>
        </is>
      </c>
      <c r="G79" s="96" t="inlineStr">
        <is>
          <t>FRED WFRBST01134 CSV retrieved 2026-08-24; Fed DFA vintage release 2026-06-18 covering through 2026:Q1</t>
        </is>
      </c>
    </row>
    <row r="80" ht="42" customHeight="1" s="58">
      <c r="A80" s="95" t="n">
        <v>46258</v>
      </c>
      <c r="B80" s="100" t="inlineStr">
        <is>
          <t>A.4 Forward Metric Tracking</t>
        </is>
      </c>
      <c r="C80" s="100" t="inlineStr">
        <is>
          <t>H6</t>
        </is>
      </c>
      <c r="D80" s="96" t="n"/>
      <c r="E80" s="96" t="inlineStr">
        <is>
          <t>2024:Q4</t>
        </is>
      </c>
      <c r="F80" s="96" t="inlineStr">
        <is>
          <t>Mapped DFA observation quarter (same rule as A.2)</t>
        </is>
      </c>
      <c r="G80" s="96" t="inlineStr">
        <is>
          <t>FRED WFRBST01134 CSV retrieved 2026-08-24; Fed DFA vintage release 2026-06-18 covering through 2026:Q1</t>
        </is>
      </c>
    </row>
    <row r="81" ht="42" customHeight="1" s="58">
      <c r="A81" s="95" t="n">
        <v>46258</v>
      </c>
      <c r="B81" s="100" t="inlineStr">
        <is>
          <t>A.4 Forward Metric Tracking</t>
        </is>
      </c>
      <c r="C81" s="100" t="inlineStr">
        <is>
          <t>I6</t>
        </is>
      </c>
      <c r="D81" s="96" t="n"/>
      <c r="E81" s="96" t="inlineStr">
        <is>
          <t>2026-06-18</t>
        </is>
      </c>
      <c r="F81" s="96" t="inlineStr">
        <is>
          <t>Current vintage release date of the downloaded series (same vintage applied to all historical quarters)</t>
        </is>
      </c>
      <c r="G81" s="96" t="inlineStr">
        <is>
          <t>FRED WFRBST01134 CSV retrieved 2026-08-24; Fed DFA vintage release 2026-06-18 covering through 2026:Q1</t>
        </is>
      </c>
    </row>
    <row r="82" ht="42" customHeight="1" s="58">
      <c r="A82" s="95" t="n">
        <v>46258</v>
      </c>
      <c r="B82" s="100" t="inlineStr">
        <is>
          <t>A.4 Forward Metric Tracking</t>
        </is>
      </c>
      <c r="C82" s="100" t="inlineStr">
        <is>
          <t>J6</t>
        </is>
      </c>
      <c r="D82" s="96" t="n"/>
      <c r="E82" s="96" t="inlineStr">
        <is>
          <t>WFRBST01134</t>
        </is>
      </c>
      <c r="F82" s="96" t="inlineStr">
        <is>
          <t>FRED / DFA series id for Share of Net Worth Held by the Top 1%</t>
        </is>
      </c>
      <c r="G82" s="96" t="inlineStr">
        <is>
          <t>FRED WFRBST01134 CSV retrieved 2026-08-24; Fed DFA vintage release 2026-06-18 covering through 2026:Q1</t>
        </is>
      </c>
    </row>
    <row r="83" ht="42" customHeight="1" s="58">
      <c r="A83" s="95" t="n">
        <v>46258</v>
      </c>
      <c r="B83" s="100" t="inlineStr">
        <is>
          <t>A.4 Forward Metric Tracking</t>
        </is>
      </c>
      <c r="C83" s="100" t="inlineStr">
        <is>
          <t>D7</t>
        </is>
      </c>
      <c r="D83" s="96" t="n">
        <v>32</v>
      </c>
      <c r="E83" s="96" t="n">
        <v>30.9</v>
      </c>
      <c r="F83" s="96" t="inlineStr">
        <is>
          <t>Replace non-official Top 1% wealth share with FRED WFRBST01134 net-worth share for the mapped DFA quarter so A.4 matches A.2.</t>
        </is>
      </c>
      <c r="G83" s="96" t="inlineStr">
        <is>
          <t>FRED WFRBST01134 CSV retrieved 2026-08-24; Fed DFA vintage release 2026-06-18 covering through 2026:Q1</t>
        </is>
      </c>
    </row>
    <row r="84" ht="42" customHeight="1" s="58">
      <c r="A84" s="95" t="n">
        <v>46258</v>
      </c>
      <c r="B84" s="100" t="inlineStr">
        <is>
          <t>A.4 Forward Metric Tracking</t>
        </is>
      </c>
      <c r="C84" s="100" t="inlineStr">
        <is>
          <t>H7</t>
        </is>
      </c>
      <c r="D84" s="96" t="n"/>
      <c r="E84" s="96" t="inlineStr">
        <is>
          <t>2025:Q1</t>
        </is>
      </c>
      <c r="F84" s="96" t="inlineStr">
        <is>
          <t>Mapped DFA observation quarter (same rule as A.2)</t>
        </is>
      </c>
      <c r="G84" s="96" t="inlineStr">
        <is>
          <t>FRED WFRBST01134 CSV retrieved 2026-08-24; Fed DFA vintage release 2026-06-18 covering through 2026:Q1</t>
        </is>
      </c>
    </row>
    <row r="85" ht="42" customHeight="1" s="58">
      <c r="A85" s="95" t="n">
        <v>46258</v>
      </c>
      <c r="B85" s="100" t="inlineStr">
        <is>
          <t>A.4 Forward Metric Tracking</t>
        </is>
      </c>
      <c r="C85" s="100" t="inlineStr">
        <is>
          <t>I7</t>
        </is>
      </c>
      <c r="D85" s="96" t="n"/>
      <c r="E85" s="96" t="inlineStr">
        <is>
          <t>2026-06-18</t>
        </is>
      </c>
      <c r="F85" s="96" t="inlineStr">
        <is>
          <t>Current vintage release date of the downloaded series (same vintage applied to all historical quarters)</t>
        </is>
      </c>
      <c r="G85" s="96" t="inlineStr">
        <is>
          <t>FRED WFRBST01134 CSV retrieved 2026-08-24; Fed DFA vintage release 2026-06-18 covering through 2026:Q1</t>
        </is>
      </c>
    </row>
    <row r="86" ht="42" customHeight="1" s="58">
      <c r="A86" s="95" t="n">
        <v>46258</v>
      </c>
      <c r="B86" s="100" t="inlineStr">
        <is>
          <t>A.4 Forward Metric Tracking</t>
        </is>
      </c>
      <c r="C86" s="100" t="inlineStr">
        <is>
          <t>J7</t>
        </is>
      </c>
      <c r="D86" s="96" t="n"/>
      <c r="E86" s="96" t="inlineStr">
        <is>
          <t>WFRBST01134</t>
        </is>
      </c>
      <c r="F86" s="96" t="inlineStr">
        <is>
          <t>FRED / DFA series id for Share of Net Worth Held by the Top 1%</t>
        </is>
      </c>
      <c r="G86" s="96" t="inlineStr">
        <is>
          <t>FRED WFRBST01134 CSV retrieved 2026-08-24; Fed DFA vintage release 2026-06-18 covering through 2026:Q1</t>
        </is>
      </c>
    </row>
    <row r="87" ht="42" customHeight="1" s="58">
      <c r="A87" s="95" t="n">
        <v>46258</v>
      </c>
      <c r="B87" s="100" t="inlineStr">
        <is>
          <t>A.4 Forward Metric Tracking</t>
        </is>
      </c>
      <c r="C87" s="100" t="inlineStr">
        <is>
          <t>D8</t>
        </is>
      </c>
      <c r="D87" s="96" t="n">
        <v>31.9</v>
      </c>
      <c r="E87" s="96" t="n">
        <v>31.2</v>
      </c>
      <c r="F87" s="96" t="inlineStr">
        <is>
          <t>Replace non-official Top 1% wealth share with FRED WFRBST01134 net-worth share for the mapped DFA quarter so A.4 matches A.2.</t>
        </is>
      </c>
      <c r="G87" s="96" t="inlineStr">
        <is>
          <t>FRED WFRBST01134 CSV retrieved 2026-08-24; Fed DFA vintage release 2026-06-18 covering through 2026:Q1</t>
        </is>
      </c>
    </row>
    <row r="88" ht="42" customHeight="1" s="58">
      <c r="A88" s="95" t="n">
        <v>46258</v>
      </c>
      <c r="B88" s="100" t="inlineStr">
        <is>
          <t>A.4 Forward Metric Tracking</t>
        </is>
      </c>
      <c r="C88" s="100" t="inlineStr">
        <is>
          <t>H8</t>
        </is>
      </c>
      <c r="D88" s="96" t="n"/>
      <c r="E88" s="96" t="inlineStr">
        <is>
          <t>2025:Q2</t>
        </is>
      </c>
      <c r="F88" s="96" t="inlineStr">
        <is>
          <t>Mapped DFA observation quarter (same rule as A.2)</t>
        </is>
      </c>
      <c r="G88" s="96" t="inlineStr">
        <is>
          <t>FRED WFRBST01134 CSV retrieved 2026-08-24; Fed DFA vintage release 2026-06-18 covering through 2026:Q1</t>
        </is>
      </c>
    </row>
    <row r="89" ht="42" customHeight="1" s="58">
      <c r="A89" s="95" t="n">
        <v>46258</v>
      </c>
      <c r="B89" s="100" t="inlineStr">
        <is>
          <t>A.4 Forward Metric Tracking</t>
        </is>
      </c>
      <c r="C89" s="100" t="inlineStr">
        <is>
          <t>I8</t>
        </is>
      </c>
      <c r="D89" s="96" t="n"/>
      <c r="E89" s="96" t="inlineStr">
        <is>
          <t>2026-06-18</t>
        </is>
      </c>
      <c r="F89" s="96" t="inlineStr">
        <is>
          <t>Current vintage release date of the downloaded series (same vintage applied to all historical quarters)</t>
        </is>
      </c>
      <c r="G89" s="96" t="inlineStr">
        <is>
          <t>FRED WFRBST01134 CSV retrieved 2026-08-24; Fed DFA vintage release 2026-06-18 covering through 2026:Q1</t>
        </is>
      </c>
    </row>
    <row r="90" ht="42" customHeight="1" s="58">
      <c r="A90" s="95" t="n">
        <v>46258</v>
      </c>
      <c r="B90" s="100" t="inlineStr">
        <is>
          <t>A.4 Forward Metric Tracking</t>
        </is>
      </c>
      <c r="C90" s="100" t="inlineStr">
        <is>
          <t>J8</t>
        </is>
      </c>
      <c r="D90" s="96" t="n"/>
      <c r="E90" s="96" t="inlineStr">
        <is>
          <t>WFRBST01134</t>
        </is>
      </c>
      <c r="F90" s="96" t="inlineStr">
        <is>
          <t>FRED / DFA series id for Share of Net Worth Held by the Top 1%</t>
        </is>
      </c>
      <c r="G90" s="96" t="inlineStr">
        <is>
          <t>FRED WFRBST01134 CSV retrieved 2026-08-24; Fed DFA vintage release 2026-06-18 covering through 2026:Q1</t>
        </is>
      </c>
    </row>
    <row r="91" ht="42" customHeight="1" s="58">
      <c r="A91" s="95" t="n">
        <v>46258</v>
      </c>
      <c r="B91" s="100" t="inlineStr">
        <is>
          <t>A.4 Forward Metric Tracking</t>
        </is>
      </c>
      <c r="C91" s="100" t="inlineStr">
        <is>
          <t>D9</t>
        </is>
      </c>
      <c r="D91" s="96" t="n">
        <v>31.8</v>
      </c>
      <c r="E91" s="96" t="n">
        <v>31.6</v>
      </c>
      <c r="F91" s="96" t="inlineStr">
        <is>
          <t>Replace non-official Top 1% wealth share with FRED WFRBST01134 net-worth share for the mapped DFA quarter so A.4 matches A.2.</t>
        </is>
      </c>
      <c r="G91" s="96" t="inlineStr">
        <is>
          <t>FRED WFRBST01134 CSV retrieved 2026-08-24; Fed DFA vintage release 2026-06-18 covering through 2026:Q1</t>
        </is>
      </c>
    </row>
    <row r="92" ht="42" customHeight="1" s="58">
      <c r="A92" s="95" t="n">
        <v>46258</v>
      </c>
      <c r="B92" s="100" t="inlineStr">
        <is>
          <t>A.4 Forward Metric Tracking</t>
        </is>
      </c>
      <c r="C92" s="100" t="inlineStr">
        <is>
          <t>H9</t>
        </is>
      </c>
      <c r="D92" s="96" t="n"/>
      <c r="E92" s="96" t="inlineStr">
        <is>
          <t>2025:Q3</t>
        </is>
      </c>
      <c r="F92" s="96" t="inlineStr">
        <is>
          <t>Mapped DFA observation quarter (same rule as A.2)</t>
        </is>
      </c>
      <c r="G92" s="96" t="inlineStr">
        <is>
          <t>FRED WFRBST01134 CSV retrieved 2026-08-24; Fed DFA vintage release 2026-06-18 covering through 2026:Q1</t>
        </is>
      </c>
    </row>
    <row r="93" ht="42" customHeight="1" s="58">
      <c r="A93" s="95" t="n">
        <v>46258</v>
      </c>
      <c r="B93" s="100" t="inlineStr">
        <is>
          <t>A.4 Forward Metric Tracking</t>
        </is>
      </c>
      <c r="C93" s="100" t="inlineStr">
        <is>
          <t>I9</t>
        </is>
      </c>
      <c r="D93" s="96" t="n"/>
      <c r="E93" s="96" t="inlineStr">
        <is>
          <t>2026-06-18</t>
        </is>
      </c>
      <c r="F93" s="96" t="inlineStr">
        <is>
          <t>Current vintage release date of the downloaded series (same vintage applied to all historical quarters)</t>
        </is>
      </c>
      <c r="G93" s="96" t="inlineStr">
        <is>
          <t>FRED WFRBST01134 CSV retrieved 2026-08-24; Fed DFA vintage release 2026-06-18 covering through 2026:Q1</t>
        </is>
      </c>
    </row>
    <row r="94" ht="42" customHeight="1" s="58">
      <c r="A94" s="95" t="n">
        <v>46258</v>
      </c>
      <c r="B94" s="100" t="inlineStr">
        <is>
          <t>A.4 Forward Metric Tracking</t>
        </is>
      </c>
      <c r="C94" s="100" t="inlineStr">
        <is>
          <t>J9</t>
        </is>
      </c>
      <c r="D94" s="96" t="n"/>
      <c r="E94" s="96" t="inlineStr">
        <is>
          <t>WFRBST01134</t>
        </is>
      </c>
      <c r="F94" s="96" t="inlineStr">
        <is>
          <t>FRED / DFA series id for Share of Net Worth Held by the Top 1%</t>
        </is>
      </c>
      <c r="G94" s="96" t="inlineStr">
        <is>
          <t>FRED WFRBST01134 CSV retrieved 2026-08-24; Fed DFA vintage release 2026-06-18 covering through 2026:Q1</t>
        </is>
      </c>
    </row>
    <row r="95" ht="42" customHeight="1" s="58">
      <c r="A95" s="95" t="n">
        <v>46258</v>
      </c>
      <c r="B95" s="100" t="inlineStr">
        <is>
          <t>A.4 Forward Metric Tracking</t>
        </is>
      </c>
      <c r="C95" s="100" t="inlineStr">
        <is>
          <t>D10</t>
        </is>
      </c>
      <c r="D95" s="96" t="n">
        <v>31.4</v>
      </c>
      <c r="E95" s="96" t="n">
        <v>31.8</v>
      </c>
      <c r="F95" s="96" t="inlineStr">
        <is>
          <t>Replace non-official Top 1% wealth share with FRED WFRBST01134 net-worth share for the mapped DFA quarter so A.4 matches A.2.</t>
        </is>
      </c>
      <c r="G95" s="96" t="inlineStr">
        <is>
          <t>FRED WFRBST01134 CSV retrieved 2026-08-24; Fed DFA vintage release 2026-06-18 covering through 2026:Q1</t>
        </is>
      </c>
    </row>
    <row r="96" ht="42" customHeight="1" s="58">
      <c r="A96" s="95" t="n">
        <v>46258</v>
      </c>
      <c r="B96" s="100" t="inlineStr">
        <is>
          <t>A.4 Forward Metric Tracking</t>
        </is>
      </c>
      <c r="C96" s="100" t="inlineStr">
        <is>
          <t>H10</t>
        </is>
      </c>
      <c r="D96" s="96" t="n"/>
      <c r="E96" s="96" t="inlineStr">
        <is>
          <t>2025:Q4</t>
        </is>
      </c>
      <c r="F96" s="96" t="inlineStr">
        <is>
          <t>Mapped DFA observation quarter (same rule as A.2)</t>
        </is>
      </c>
      <c r="G96" s="96" t="inlineStr">
        <is>
          <t>FRED WFRBST01134 CSV retrieved 2026-08-24; Fed DFA vintage release 2026-06-18 covering through 2026:Q1</t>
        </is>
      </c>
    </row>
    <row r="97" ht="42" customHeight="1" s="58">
      <c r="A97" s="95" t="n">
        <v>46258</v>
      </c>
      <c r="B97" s="100" t="inlineStr">
        <is>
          <t>A.4 Forward Metric Tracking</t>
        </is>
      </c>
      <c r="C97" s="100" t="inlineStr">
        <is>
          <t>I10</t>
        </is>
      </c>
      <c r="D97" s="96" t="n"/>
      <c r="E97" s="96" t="inlineStr">
        <is>
          <t>2026-06-18</t>
        </is>
      </c>
      <c r="F97" s="96" t="inlineStr">
        <is>
          <t>Current vintage release date of the downloaded series (same vintage applied to all historical quarters)</t>
        </is>
      </c>
      <c r="G97" s="96" t="inlineStr">
        <is>
          <t>FRED WFRBST01134 CSV retrieved 2026-08-24; Fed DFA vintage release 2026-06-18 covering through 2026:Q1</t>
        </is>
      </c>
    </row>
    <row r="98" ht="42" customHeight="1" s="58">
      <c r="A98" s="95" t="n">
        <v>46258</v>
      </c>
      <c r="B98" s="100" t="inlineStr">
        <is>
          <t>A.4 Forward Metric Tracking</t>
        </is>
      </c>
      <c r="C98" s="100" t="inlineStr">
        <is>
          <t>J10</t>
        </is>
      </c>
      <c r="D98" s="96" t="n"/>
      <c r="E98" s="96" t="inlineStr">
        <is>
          <t>WFRBST01134</t>
        </is>
      </c>
      <c r="F98" s="96" t="inlineStr">
        <is>
          <t>FRED / DFA series id for Share of Net Worth Held by the Top 1%</t>
        </is>
      </c>
      <c r="G98" s="96" t="inlineStr">
        <is>
          <t>FRED WFRBST01134 CSV retrieved 2026-08-24; Fed DFA vintage release 2026-06-18 covering through 2026:Q1</t>
        </is>
      </c>
    </row>
    <row r="99" ht="42" customHeight="1" s="58">
      <c r="A99" s="95" t="n">
        <v>46258</v>
      </c>
      <c r="B99" s="100" t="inlineStr">
        <is>
          <t>A.4 Forward Metric Tracking</t>
        </is>
      </c>
      <c r="C99" s="100" t="inlineStr">
        <is>
          <t>D11</t>
        </is>
      </c>
      <c r="D99" s="96" t="n">
        <v>31.2</v>
      </c>
      <c r="E99" s="96" t="n">
        <v>31.6</v>
      </c>
      <c r="F99" s="96" t="inlineStr">
        <is>
          <t>Replace non-official Top 1% wealth share with FRED WFRBST01134 net-worth share for the mapped DFA quarter so A.4 matches A.2.</t>
        </is>
      </c>
      <c r="G99" s="96" t="inlineStr">
        <is>
          <t>FRED WFRBST01134 CSV retrieved 2026-08-24; Fed DFA vintage release 2026-06-18 covering through 2026:Q1</t>
        </is>
      </c>
    </row>
    <row r="100" ht="42" customHeight="1" s="58">
      <c r="A100" s="95" t="n">
        <v>46258</v>
      </c>
      <c r="B100" s="100" t="inlineStr">
        <is>
          <t>A.4 Forward Metric Tracking</t>
        </is>
      </c>
      <c r="C100" s="100" t="inlineStr">
        <is>
          <t>H11</t>
        </is>
      </c>
      <c r="D100" s="96" t="n"/>
      <c r="E100" s="96" t="inlineStr">
        <is>
          <t>2026:Q1</t>
        </is>
      </c>
      <c r="F100" s="96" t="inlineStr">
        <is>
          <t>Mapped DFA observation quarter (same rule as A.2)</t>
        </is>
      </c>
      <c r="G100" s="96" t="inlineStr">
        <is>
          <t>FRED WFRBST01134 CSV retrieved 2026-08-24; Fed DFA vintage release 2026-06-18 covering through 2026:Q1</t>
        </is>
      </c>
    </row>
    <row r="101" ht="42" customHeight="1" s="58">
      <c r="A101" s="95" t="n">
        <v>46258</v>
      </c>
      <c r="B101" s="100" t="inlineStr">
        <is>
          <t>A.4 Forward Metric Tracking</t>
        </is>
      </c>
      <c r="C101" s="100" t="inlineStr">
        <is>
          <t>I11</t>
        </is>
      </c>
      <c r="D101" s="96" t="n"/>
      <c r="E101" s="96" t="inlineStr">
        <is>
          <t>2026-06-18</t>
        </is>
      </c>
      <c r="F101" s="96" t="inlineStr">
        <is>
          <t>Current vintage release date of the downloaded series (same vintage applied to all historical quarters)</t>
        </is>
      </c>
      <c r="G101" s="96" t="inlineStr">
        <is>
          <t>FRED WFRBST01134 CSV retrieved 2026-08-24; Fed DFA vintage release 2026-06-18 covering through 2026:Q1</t>
        </is>
      </c>
    </row>
    <row r="102" ht="42" customHeight="1" s="58">
      <c r="A102" s="95" t="n">
        <v>46258</v>
      </c>
      <c r="B102" s="100" t="inlineStr">
        <is>
          <t>A.4 Forward Metric Tracking</t>
        </is>
      </c>
      <c r="C102" s="100" t="inlineStr">
        <is>
          <t>J11</t>
        </is>
      </c>
      <c r="D102" s="96" t="n"/>
      <c r="E102" s="96" t="inlineStr">
        <is>
          <t>WFRBST01134</t>
        </is>
      </c>
      <c r="F102" s="96" t="inlineStr">
        <is>
          <t>FRED / DFA series id for Share of Net Worth Held by the Top 1%</t>
        </is>
      </c>
      <c r="G102" s="96" t="inlineStr">
        <is>
          <t>FRED WFRBST01134 CSV retrieved 2026-08-24; Fed DFA vintage release 2026-06-18 covering through 2026:Q1</t>
        </is>
      </c>
    </row>
    <row r="103" ht="42" customHeight="1" s="58">
      <c r="A103" s="95" t="n">
        <v>46258</v>
      </c>
      <c r="B103" s="100" t="inlineStr">
        <is>
          <t>Dashboard</t>
        </is>
      </c>
      <c r="C103" s="100" t="inlineStr">
        <is>
          <t>E8</t>
        </is>
      </c>
      <c r="D103" s="96" t="inlineStr">
        <is>
          <t>A.4 Forward Metric Tracking
Status: Transitional
Key Snapshot: Top 1 % wealth share 31.2 %; global Bitcoin adoption ~8.8 %, self-custody ratio 50 %.
Alignment Note: K-shaped divergence narrows modestly; realignment cycle strength remaining at 4.
Link to Log: Tab 6!A1</t>
        </is>
      </c>
      <c r="E103" s="96" t="inlineStr">
        <is>
          <t>A.4 Forward Metric Tracking
Status: Transitional
Key Snapshot: Top 1 % wealth share 31.6 %; global Bitcoin adoption ~8.8 %, self-custody ratio 50 %.
Alignment Note: K-shaped divergence narrows modestly; realignment cycle strength remaining at 4.
Link to Log: Tab 6!A1</t>
        </is>
      </c>
      <c r="F103" s="96" t="inlineStr">
        <is>
          <t>Dashboard A.4 card quoted the old Top 1% figure; updated to official DFA net-worth share. Status text and other metrics unchanged.</t>
        </is>
      </c>
      <c r="G103" s="96" t="inlineStr">
        <is>
          <t>FRED WFRBST01134 CSV retrieved 2026-08-24; Fed DFA vintage release 2026-06-18 covering through 2026:Q1</t>
        </is>
      </c>
    </row>
    <row r="104" ht="42" customHeight="1" s="58">
      <c r="A104" s="95" t="n">
        <v>46258</v>
      </c>
      <c r="B104" s="100" t="inlineStr">
        <is>
          <t>Dashboard</t>
        </is>
      </c>
      <c r="C104" s="100" t="inlineStr">
        <is>
          <t>I14</t>
        </is>
      </c>
      <c r="D104" s="96" t="inlineStr">
        <is>
          <t>Top 1 % at 32.6 %; adoption ~5.3 %; cycle strength 2</t>
        </is>
      </c>
      <c r="E104" s="96" t="inlineStr">
        <is>
          <t>Top 1 % at 30.3 %; adoption ~5.3 %; cycle strength 2</t>
        </is>
      </c>
      <c r="F104" s="96" t="inlineStr">
        <is>
          <t>Dashboard A.4 snapshot quoted the old Top 1% figure; updated to official DFA net-worth share. Status and Realignment Index formula untouched.</t>
        </is>
      </c>
      <c r="G104" s="96" t="inlineStr">
        <is>
          <t>FRED WFRBST01134 CSV retrieved 2026-08-24; Fed DFA vintage release 2026-06-18 covering through 2026:Q1</t>
        </is>
      </c>
    </row>
    <row r="105" ht="42" customHeight="1" s="58">
      <c r="A105" s="95" t="n">
        <v>46258</v>
      </c>
      <c r="B105" s="100" t="inlineStr">
        <is>
          <t>Dashboard</t>
        </is>
      </c>
      <c r="C105" s="100" t="inlineStr">
        <is>
          <t>I15</t>
        </is>
      </c>
      <c r="D105" s="96" t="inlineStr">
        <is>
          <t>Top 1 % at 32.5 %; adoption ~5.8 %; cycle strength 3</t>
        </is>
      </c>
      <c r="E105" s="96" t="inlineStr">
        <is>
          <t>Top 1 % at 30.6 %; adoption ~5.8 %; cycle strength 3</t>
        </is>
      </c>
      <c r="F105" s="96" t="inlineStr">
        <is>
          <t>Dashboard A.4 snapshot quoted the old Top 1% figure; updated to official DFA net-worth share. Status and Realignment Index formula untouched.</t>
        </is>
      </c>
      <c r="G105" s="96" t="inlineStr">
        <is>
          <t>FRED WFRBST01134 CSV retrieved 2026-08-24; Fed DFA vintage release 2026-06-18 covering through 2026:Q1</t>
        </is>
      </c>
    </row>
    <row r="106" ht="42" customHeight="1" s="58">
      <c r="A106" s="95" t="n">
        <v>46258</v>
      </c>
      <c r="B106" s="100" t="inlineStr">
        <is>
          <t>Dashboard</t>
        </is>
      </c>
      <c r="C106" s="100" t="inlineStr">
        <is>
          <t>I16</t>
        </is>
      </c>
      <c r="D106" s="96" t="inlineStr">
        <is>
          <t>Top 1 % at 32.4 %; adoption ~6.2 %; cycle strength 3</t>
        </is>
      </c>
      <c r="E106" s="96" t="inlineStr">
        <is>
          <t>Top 1 % at 30.5 %; adoption ~6.2 %; cycle strength 3</t>
        </is>
      </c>
      <c r="F106" s="96" t="inlineStr">
        <is>
          <t>Dashboard A.4 snapshot quoted the old Top 1% figure; updated to official DFA net-worth share. Status and Realignment Index formula untouched.</t>
        </is>
      </c>
      <c r="G106" s="96" t="inlineStr">
        <is>
          <t>FRED WFRBST01134 CSV retrieved 2026-08-24; Fed DFA vintage release 2026-06-18 covering through 2026:Q1</t>
        </is>
      </c>
    </row>
    <row r="107" ht="42" customHeight="1" s="58">
      <c r="A107" s="95" t="n">
        <v>46258</v>
      </c>
      <c r="B107" s="100" t="inlineStr">
        <is>
          <t>Dashboard</t>
        </is>
      </c>
      <c r="C107" s="100" t="inlineStr">
        <is>
          <t>I17</t>
        </is>
      </c>
      <c r="D107" s="96" t="inlineStr">
        <is>
          <t>Top 1 % at 32.3 %; adoption ~6.6 %; cycle strength 3</t>
        </is>
      </c>
      <c r="E107" s="96" t="inlineStr">
        <is>
          <t>Top 1 % at 30.9 %; adoption ~6.6 %; cycle strength 3</t>
        </is>
      </c>
      <c r="F107" s="96" t="inlineStr">
        <is>
          <t>Dashboard A.4 snapshot quoted the old Top 1% figure; updated to official DFA net-worth share. Status and Realignment Index formula untouched.</t>
        </is>
      </c>
      <c r="G107" s="96" t="inlineStr">
        <is>
          <t>FRED WFRBST01134 CSV retrieved 2026-08-24; Fed DFA vintage release 2026-06-18 covering through 2026:Q1</t>
        </is>
      </c>
    </row>
    <row r="108" ht="42" customHeight="1" s="58">
      <c r="A108" s="95" t="n">
        <v>46258</v>
      </c>
      <c r="B108" s="100" t="inlineStr">
        <is>
          <t>Dashboard</t>
        </is>
      </c>
      <c r="C108" s="100" t="inlineStr">
        <is>
          <t>I18</t>
        </is>
      </c>
      <c r="D108" s="96" t="inlineStr">
        <is>
          <t>Top 1 % at 32.1 %; adoption ~7.0 %; cycle strength 4</t>
        </is>
      </c>
      <c r="E108" s="96" t="inlineStr">
        <is>
          <t>Top 1 % at 31.0 %; adoption ~7.0 %; cycle strength 4</t>
        </is>
      </c>
      <c r="F108" s="96" t="inlineStr">
        <is>
          <t>Dashboard A.4 snapshot quoted the old Top 1% figure; updated to official DFA net-worth share. Status and Realignment Index formula untouched.</t>
        </is>
      </c>
      <c r="G108" s="96" t="inlineStr">
        <is>
          <t>FRED WFRBST01134 CSV retrieved 2026-08-24; Fed DFA vintage release 2026-06-18 covering through 2026:Q1</t>
        </is>
      </c>
    </row>
    <row r="109" ht="42" customHeight="1" s="58">
      <c r="A109" s="95" t="n">
        <v>46258</v>
      </c>
      <c r="B109" s="100" t="inlineStr">
        <is>
          <t>Dashboard</t>
        </is>
      </c>
      <c r="C109" s="100" t="inlineStr">
        <is>
          <t>I19</t>
        </is>
      </c>
      <c r="D109" s="96" t="inlineStr">
        <is>
          <t>Top 1 % at 32.0 %; adoption ~7.3 %; cycle strength 4</t>
        </is>
      </c>
      <c r="E109" s="96" t="inlineStr">
        <is>
          <t>Top 1 % at 30.9 %; adoption ~7.3 %; cycle strength 4</t>
        </is>
      </c>
      <c r="F109" s="96" t="inlineStr">
        <is>
          <t>Dashboard A.4 snapshot quoted the old Top 1% figure; updated to official DFA net-worth share. Status and Realignment Index formula untouched.</t>
        </is>
      </c>
      <c r="G109" s="96" t="inlineStr">
        <is>
          <t>FRED WFRBST01134 CSV retrieved 2026-08-24; Fed DFA vintage release 2026-06-18 covering through 2026:Q1</t>
        </is>
      </c>
    </row>
    <row r="110" ht="42" customHeight="1" s="58">
      <c r="A110" s="95" t="n">
        <v>46258</v>
      </c>
      <c r="B110" s="100" t="inlineStr">
        <is>
          <t>Dashboard</t>
        </is>
      </c>
      <c r="C110" s="100" t="inlineStr">
        <is>
          <t>I20</t>
        </is>
      </c>
      <c r="D110" s="96" t="inlineStr">
        <is>
          <t>Top 1 % at 31.9 %; adoption ~7.6 %; cycle strength 4</t>
        </is>
      </c>
      <c r="E110" s="96" t="inlineStr">
        <is>
          <t>Top 1 % at 31.2 %; adoption ~7.6 %; cycle strength 4</t>
        </is>
      </c>
      <c r="F110" s="96" t="inlineStr">
        <is>
          <t>Dashboard A.4 snapshot quoted the old Top 1% figure; updated to official DFA net-worth share. Status and Realignment Index formula untouched.</t>
        </is>
      </c>
      <c r="G110" s="96" t="inlineStr">
        <is>
          <t>FRED WFRBST01134 CSV retrieved 2026-08-24; Fed DFA vintage release 2026-06-18 covering through 2026:Q1</t>
        </is>
      </c>
    </row>
    <row r="111" ht="42" customHeight="1" s="58">
      <c r="A111" s="95" t="n">
        <v>46258</v>
      </c>
      <c r="B111" s="100" t="inlineStr">
        <is>
          <t>Dashboard</t>
        </is>
      </c>
      <c r="C111" s="100" t="inlineStr">
        <is>
          <t>I21</t>
        </is>
      </c>
      <c r="D111" s="96" t="inlineStr">
        <is>
          <t>Top 1 % at 31.8 %; adoption ~7.9 %; cycle strength 4</t>
        </is>
      </c>
      <c r="E111" s="96" t="inlineStr">
        <is>
          <t>Top 1 % at 31.6 %; adoption ~7.9 %; cycle strength 4</t>
        </is>
      </c>
      <c r="F111" s="96" t="inlineStr">
        <is>
          <t>Dashboard A.4 snapshot quoted the old Top 1% figure; updated to official DFA net-worth share. Status and Realignment Index formula untouched.</t>
        </is>
      </c>
      <c r="G111" s="96" t="inlineStr">
        <is>
          <t>FRED WFRBST01134 CSV retrieved 2026-08-24; Fed DFA vintage release 2026-06-18 covering through 2026:Q1</t>
        </is>
      </c>
    </row>
    <row r="112" ht="42" customHeight="1" s="58">
      <c r="A112" s="95" t="n">
        <v>46258</v>
      </c>
      <c r="B112" s="100" t="inlineStr">
        <is>
          <t>Dashboard</t>
        </is>
      </c>
      <c r="C112" s="100" t="inlineStr">
        <is>
          <t>I22</t>
        </is>
      </c>
      <c r="D112" s="96" t="inlineStr">
        <is>
          <t>Top 1 % at 31.4 %; adoption ~8.4 %; cycle strength 4</t>
        </is>
      </c>
      <c r="E112" s="96" t="inlineStr">
        <is>
          <t>Top 1 % at 31.8 %; adoption ~8.4 %; cycle strength 4</t>
        </is>
      </c>
      <c r="F112" s="96" t="inlineStr">
        <is>
          <t>Dashboard A.4 snapshot quoted the old Top 1% figure; updated to official DFA net-worth share. Status and Realignment Index formula untouched.</t>
        </is>
      </c>
      <c r="G112" s="96" t="inlineStr">
        <is>
          <t>FRED WFRBST01134 CSV retrieved 2026-08-24; Fed DFA vintage release 2026-06-18 covering through 2026:Q1</t>
        </is>
      </c>
    </row>
    <row r="113" ht="42" customHeight="1" s="58">
      <c r="A113" s="95" t="n">
        <v>46258</v>
      </c>
      <c r="B113" s="100" t="inlineStr">
        <is>
          <t>Dashboard</t>
        </is>
      </c>
      <c r="C113" s="100" t="inlineStr">
        <is>
          <t>I23</t>
        </is>
      </c>
      <c r="D113" s="96" t="inlineStr">
        <is>
          <t>Top 1 % at 31.2 %; adoption ~8.8 %; cycle strength 4</t>
        </is>
      </c>
      <c r="E113" s="96" t="inlineStr">
        <is>
          <t>Top 1 % at 31.6 %; adoption ~8.8 %; cycle strength 4</t>
        </is>
      </c>
      <c r="F113" s="96" t="inlineStr">
        <is>
          <t>Dashboard A.4 snapshot quoted the old Top 1% figure; updated to official DFA net-worth share. Status and Realignment Index formula untouched.</t>
        </is>
      </c>
      <c r="G113" s="96" t="inlineStr">
        <is>
          <t>FRED WFRBST01134 CSV retrieved 2026-08-24; Fed DFA vintage release 2026-06-18 covering through 2026:Q1</t>
        </is>
      </c>
    </row>
    <row r="114" ht="42" customHeight="1" s="58">
      <c r="A114" s="95" t="n">
        <v>46258</v>
      </c>
      <c r="B114" s="100" t="inlineStr">
        <is>
          <t>Overview</t>
        </is>
      </c>
      <c r="C114" s="100" t="inlineStr">
        <is>
          <t>A3</t>
        </is>
      </c>
      <c r="D114" s="96" t="inlineStr">
        <is>
          <t>Version: 15 March 2026</t>
        </is>
      </c>
      <c r="E114" s="96" t="inlineStr">
        <is>
          <t>Version: Q2 2026 — Fed-aligned draft 24 August 2026</t>
        </is>
      </c>
      <c r="F114" s="96" t="inlineStr">
        <is>
          <t>Replace stale 15 March 2026 version date with Q2 2026 Fed-aligned draft date. Eight-tab protocol language already present (Overview, Dashboard, A.1, A.2, A.3, A.4, Resources, Schedule) plus CHANGELOG.</t>
        </is>
      </c>
      <c r="G114" s="96" t="inlineStr">
        <is>
          <t>Consistency pass 2026-08-24; leftover draft fixes (not a DFA vintage change)</t>
        </is>
      </c>
    </row>
    <row r="115" ht="42" customHeight="1" s="58">
      <c r="A115" s="95" t="n">
        <v>46258</v>
      </c>
      <c r="B115" s="100" t="inlineStr">
        <is>
          <t>Schedule &amp; Milestones</t>
        </is>
      </c>
      <c r="C115" s="100" t="inlineStr">
        <is>
          <t>B9</t>
        </is>
      </c>
      <c r="D115" s="96" t="inlineStr">
        <is>
          <t>2026-09-15</t>
        </is>
      </c>
      <c r="E115" s="96" t="inlineStr">
        <is>
          <t>2027-09-15</t>
        </is>
      </c>
      <c r="F115" s="96" t="inlineStr">
        <is>
          <t>Correct year typo on Q3 2027 review date (2026-09-15 00:00:00 -&gt; 2027-09-15). Other Schedule dates checked; only this row was wrong.</t>
        </is>
      </c>
      <c r="G115" s="96" t="inlineStr">
        <is>
          <t>Consistency pass 2026-08-24; leftover draft fixes (not a DFA vintage change)</t>
        </is>
      </c>
    </row>
    <row r="116" ht="42" customHeight="1" s="58">
      <c r="A116" s="95" t="n">
        <v>46258</v>
      </c>
      <c r="B116" s="100" t="inlineStr">
        <is>
          <t>Resources</t>
        </is>
      </c>
      <c r="C116" s="100" t="inlineStr">
        <is>
          <t>D2</t>
        </is>
      </c>
      <c r="D116" s="96" t="inlineStr">
        <is>
          <t>January 2026 (Q3 2025 data)</t>
        </is>
      </c>
      <c r="E116" s="96" t="inlineStr">
        <is>
          <t>18 June 2026 (2026:Q1)</t>
        </is>
      </c>
      <c r="F116" s="96" t="inlineStr">
        <is>
          <t>Refresh DFA last-updated to current vintage release 18 June 2026 covering 2026:Q1.</t>
        </is>
      </c>
      <c r="G116" s="96" t="inlineStr">
        <is>
          <t>Fed DFA vintage release 2026-06-18; FRED WFRBST01134</t>
        </is>
      </c>
    </row>
    <row r="117" ht="42" customHeight="1" s="58">
      <c r="A117" s="95" t="n">
        <v>46258</v>
      </c>
      <c r="B117" s="100" t="inlineStr">
        <is>
          <t>Resources</t>
        </is>
      </c>
      <c r="C117" s="100" t="inlineStr">
        <is>
          <t>E2</t>
        </is>
      </c>
      <c r="D117" s="96" t="inlineStr">
        <is>
          <t>Primary source for top-1 % wealth share and Gini trends; update quarterly.</t>
        </is>
      </c>
      <c r="E117" s="96" t="inlineStr">
        <is>
          <t>Primary source for official DFA top-1 % net-worth share (WFRBST01134). Gini is NOT a DFA field.</t>
        </is>
      </c>
      <c r="F117" s="96" t="inlineStr">
        <is>
          <t>Correct Resources note: DFA supplies top-1% net worth, not Gini.</t>
        </is>
      </c>
      <c r="G117" s="96" t="inlineStr">
        <is>
          <t>Fed DFA / FRED WFRBST01134; Gini is not a DFA field</t>
        </is>
      </c>
    </row>
    <row r="118" ht="42" customHeight="1" s="58">
      <c r="A118" s="95" t="n">
        <v>46258</v>
      </c>
      <c r="B118" s="100" t="inlineStr">
        <is>
          <t>Resources</t>
        </is>
      </c>
      <c r="C118" s="100" t="inlineStr">
        <is>
          <t>D3</t>
        </is>
      </c>
      <c r="D118" s="96" t="inlineStr">
        <is>
          <t>Ongoing</t>
        </is>
      </c>
      <c r="E118" s="96" t="inlineStr">
        <is>
          <t>28 July 2026 (series through June 2026)</t>
        </is>
      </c>
      <c r="F118" s="96" t="inlineStr">
        <is>
          <t>Refresh FRED M2SL last-updated from live FRED series page. Workbook M2 values were not changed this pass.</t>
        </is>
      </c>
      <c r="G118" s="96" t="inlineStr">
        <is>
          <t>https://fred.stlouisfed.org/series/M2SL retrieved 2026-08-24; Updated Jul 28, 2026; latest obs Jun 2026</t>
        </is>
      </c>
    </row>
    <row r="119" ht="42" customHeight="1" s="58">
      <c r="A119" s="95" t="n">
        <v>46258</v>
      </c>
      <c r="B119" s="100" t="inlineStr">
        <is>
          <t>Resources</t>
        </is>
      </c>
      <c r="C119" s="100" t="inlineStr">
        <is>
          <t>D4</t>
        </is>
      </c>
      <c r="D119" s="96" t="inlineStr">
        <is>
          <t>Q1 2026</t>
        </is>
      </c>
      <c r="E119" s="96" t="inlineStr">
        <is>
          <t>Not refreshed 24 Aug 2026 (Studio login required)</t>
        </is>
      </c>
      <c r="F119" s="96" t="inlineStr">
        <is>
          <t>Glassnode last-updated cannot be confirmed from a free dated public update; do not invent a quarter.</t>
        </is>
      </c>
      <c r="G119" s="96" t="inlineStr">
        <is>
          <t>Glassnode Studio requires login; not refreshed 2026-08-24</t>
        </is>
      </c>
    </row>
    <row r="120" ht="42" customHeight="1" s="58">
      <c r="A120" s="95" t="n">
        <v>46258</v>
      </c>
      <c r="B120" s="100" t="inlineStr">
        <is>
          <t>Resources</t>
        </is>
      </c>
      <c r="C120" s="100" t="inlineStr">
        <is>
          <t>D6</t>
        </is>
      </c>
      <c r="D120" s="96" t="inlineStr">
        <is>
          <t>Ongoing</t>
        </is>
      </c>
      <c r="E120" s="96" t="inlineStr">
        <is>
          <t>24 August 2026 (free API; not equivalent to Q2 BTC full-reserve volume)</t>
        </is>
      </c>
      <c r="F120" s="96" t="inlineStr">
        <is>
          <t>Record DeFiLlama free-API check date and caveat that it is not equivalent to Q2 BTC full-reserve volume.</t>
        </is>
      </c>
      <c r="G120" s="96" t="inlineStr">
        <is>
          <t>DeFiLlama free API note 2026-08-24</t>
        </is>
      </c>
    </row>
    <row r="121" ht="42" customHeight="1" s="58">
      <c r="A121" s="95" t="n">
        <v>46258</v>
      </c>
      <c r="B121" s="100" t="inlineStr">
        <is>
          <t>Resources</t>
        </is>
      </c>
      <c r="C121" s="100" t="inlineStr">
        <is>
          <t>A9</t>
        </is>
      </c>
      <c r="D121" s="96" t="n"/>
      <c r="E121" s="96" t="inlineStr">
        <is>
          <t>Inequality Metrics</t>
        </is>
      </c>
      <c r="F121" s="96" t="inlineStr">
        <is>
          <t>Add Resources row stating Wealth Gini is NOT a DFA field; A.2 Gini retained pending a named primary series.</t>
        </is>
      </c>
      <c r="G121" s="96" t="inlineStr">
        <is>
          <t>Consistency pass 2026-08-24; leftover draft fixes (not a DFA vintage change)</t>
        </is>
      </c>
    </row>
    <row r="122" ht="42" customHeight="1" s="58">
      <c r="A122" s="95" t="n">
        <v>46258</v>
      </c>
      <c r="B122" s="100" t="inlineStr">
        <is>
          <t>Resources</t>
        </is>
      </c>
      <c r="C122" s="100" t="inlineStr">
        <is>
          <t>B9</t>
        </is>
      </c>
      <c r="D122" s="96" t="n"/>
      <c r="E122" s="96" t="inlineStr">
        <is>
          <t>Wealth Gini (non-DFA)</t>
        </is>
      </c>
      <c r="F122" s="96" t="inlineStr">
        <is>
          <t>Add Resources row stating Wealth Gini is NOT a DFA field; A.2 Gini retained pending a named primary series.</t>
        </is>
      </c>
      <c r="G122" s="96" t="inlineStr">
        <is>
          <t>Consistency pass 2026-08-24; leftover draft fixes (not a DFA vintage change)</t>
        </is>
      </c>
    </row>
    <row r="123" ht="42" customHeight="1" s="58">
      <c r="A123" s="95" t="n">
        <v>46258</v>
      </c>
      <c r="B123" s="100" t="inlineStr">
        <is>
          <t>Resources</t>
        </is>
      </c>
      <c r="C123" s="100" t="inlineStr">
        <is>
          <t>C9</t>
        </is>
      </c>
      <c r="D123" s="96" t="n"/>
      <c r="E123" s="96" t="inlineStr">
        <is>
          <t>No named primary series</t>
        </is>
      </c>
      <c r="F123" s="96" t="inlineStr">
        <is>
          <t>Add Resources row stating Wealth Gini is NOT a DFA field; A.2 Gini retained pending a named primary series.</t>
        </is>
      </c>
      <c r="G123" s="96" t="inlineStr">
        <is>
          <t>Consistency pass 2026-08-24; leftover draft fixes (not a DFA vintage change)</t>
        </is>
      </c>
    </row>
    <row r="124" ht="42" customHeight="1" s="58">
      <c r="A124" s="95" t="n">
        <v>46258</v>
      </c>
      <c r="B124" s="100" t="inlineStr">
        <is>
          <t>Resources</t>
        </is>
      </c>
      <c r="C124" s="100" t="inlineStr">
        <is>
          <t>D9</t>
        </is>
      </c>
      <c r="D124" s="96" t="n"/>
      <c r="E124" s="96" t="inlineStr">
        <is>
          <t>Not a DFA field</t>
        </is>
      </c>
      <c r="F124" s="96" t="inlineStr">
        <is>
          <t>Add Resources row stating Wealth Gini is NOT a DFA field; A.2 Gini retained pending a named primary series.</t>
        </is>
      </c>
      <c r="G124" s="96" t="inlineStr">
        <is>
          <t>Consistency pass 2026-08-24; leftover draft fixes (not a DFA vintage change)</t>
        </is>
      </c>
    </row>
    <row r="125" ht="42" customHeight="1" s="58">
      <c r="A125" s="95" t="n">
        <v>46258</v>
      </c>
      <c r="B125" s="100" t="inlineStr">
        <is>
          <t>Resources</t>
        </is>
      </c>
      <c r="C125" s="100" t="inlineStr">
        <is>
          <t>E9</t>
        </is>
      </c>
      <c r="D125" s="96" t="n"/>
      <c r="E125" s="96" t="inlineStr">
        <is>
          <t>Wealth Gini is NOT a DFA field; A.2 Gini retained pending a named primary series</t>
        </is>
      </c>
      <c r="F125" s="96" t="inlineStr">
        <is>
          <t>Add Resources row stating Wealth Gini is NOT a DFA field; A.2 Gini retained pending a named primary series.</t>
        </is>
      </c>
      <c r="G125" s="96" t="inlineStr">
        <is>
          <t>Consistency pass 2026-08-24; leftover draft fixes (not a DFA vintage change)</t>
        </is>
      </c>
    </row>
    <row r="126" ht="42" customHeight="1" s="58">
      <c r="A126" s="95" t="n">
        <v>46258</v>
      </c>
      <c r="B126" s="100" t="inlineStr">
        <is>
          <t>A.2 Transmission-Mechanism Metr</t>
        </is>
      </c>
      <c r="C126" s="100" t="inlineStr">
        <is>
          <t>G1</t>
        </is>
      </c>
      <c r="D126" s="96" t="inlineStr">
        <is>
          <t>Wealth Gini / Top-1 % Share</t>
        </is>
      </c>
      <c r="E126" s="96" t="inlineStr">
        <is>
          <t>Wealth Gini (non-DFA) / Top-1 % (official DFA in H–K)</t>
        </is>
      </c>
      <c r="F126" s="96" t="inlineStr">
        <is>
          <t>Distinguish Gini (non-DFA) from official DFA top-1% columns H–K (WFRBST01134). Gini values themselves unchanged.</t>
        </is>
      </c>
      <c r="G126" s="96" t="inlineStr">
        <is>
          <t>Fed DFA / FRED WFRBST01134; Gini is not a DFA field</t>
        </is>
      </c>
    </row>
    <row r="127" ht="42" customHeight="1" s="58">
      <c r="A127" s="95" t="n">
        <v>46258</v>
      </c>
      <c r="B127" s="100" t="inlineStr">
        <is>
          <t>Dashboard</t>
        </is>
      </c>
      <c r="C127" s="100" t="inlineStr">
        <is>
          <t>chart title (not a cell)</t>
        </is>
      </c>
      <c r="D127" s="96" t="inlineStr">
        <is>
          <t>Composite Realignment Index (1 = Full Alignment; 5 = Transitional Threshold)</t>
        </is>
      </c>
      <c r="E127" s="96" t="inlineStr">
        <is>
          <t>Composite Realignment Index (1 = Aligned, 2 = Transitional, 3 = Counter; threshold 1.5)</t>
        </is>
      </c>
      <c r="F127" s="96" t="inlineStr">
        <is>
          <t>Chart title used obsolete 1=Full Alignment / 5=Transitional Threshold scale. Scoring is Aligned=1, Transitional=2, Counter=3; full-obsolescence threshold 1.5. No worksheet cell to yellow-highlight.</t>
        </is>
      </c>
      <c r="G127" s="96" t="inlineStr">
        <is>
          <t>Consistency pass 2026-08-24; leftover draft fixes (not a DFA vintage change)</t>
        </is>
      </c>
    </row>
    <row r="128" ht="42" customHeight="1" s="58">
      <c r="A128" s="95" t="n">
        <v>46258</v>
      </c>
      <c r="B128" s="100" t="inlineStr">
        <is>
          <t>Dashboard</t>
        </is>
      </c>
      <c r="C128" s="100" t="inlineStr">
        <is>
          <t>K23 / L23 sparklines</t>
        </is>
      </c>
      <c r="D128" s="96" t="inlineStr">
        <is>
          <t>present in original upload sheet2.xml extLst; absent from this draft after openpyxl rewrite</t>
        </is>
      </c>
      <c r="E128" s="96" t="inlineStr">
        <is>
          <t>not restored</t>
        </is>
      </c>
      <c r="F128" s="96" t="inlineStr">
        <is>
          <t>Dashboard sparklines dropped by openpyxl; recreate in Excel from A.4 C (self-custody) and D (top 1%).</t>
        </is>
      </c>
      <c r="G128" s="96" t="inlineStr">
        <is>
          <t>Original upload has x14:sparklineGroups on Dashboard (K23 from A.4 D2:D11; L23 from A.4 C2:C11). Draft sheet XML differs (no extLst, different r:ids/namespaces). Prior XML restore corrupted the file; skipped rather than risk another restore.</t>
        </is>
      </c>
    </row>
    <row r="129" ht="42" customHeight="1" s="58">
      <c r="A129" s="95" t="n">
        <v>46258</v>
      </c>
      <c r="B129" s="100" t="inlineStr">
        <is>
          <t>(workbook)</t>
        </is>
      </c>
      <c r="C129" s="100" t="inlineStr">
        <is>
          <t>N/A</t>
        </is>
      </c>
      <c r="D129" s="96" t="inlineStr">
        <is>
          <t>yellow change-mark fills (FFFF00 / FFF2CC / FFF5D9 and near-yellow)</t>
        </is>
      </c>
      <c r="E129" s="96" t="inlineStr">
        <is>
          <t>fills removed; intentional non-yellow section/header fills retained then restyled on data-table sheets</t>
        </is>
      </c>
      <c r="F129" s="96" t="inlineStr">
        <is>
          <t>Formatting pass: remove yellow change marks on every sheet including CHANGELOG. Data-table header style set to navy 1F4E79 / white bold Calibri; data rows white; thin light-gray borders.</t>
        </is>
      </c>
      <c r="G129" s="96" t="inlineStr">
        <is>
          <t>Review draft 2026-08-24; formatting/methods pass (not a DFA vintage change)</t>
        </is>
      </c>
    </row>
    <row r="130" ht="42" customHeight="1" s="58">
      <c r="A130" s="95" t="n">
        <v>46258</v>
      </c>
      <c r="B130" s="100" t="inlineStr">
        <is>
          <t>Methods</t>
        </is>
      </c>
      <c r="C130" s="100" t="inlineStr">
        <is>
          <t>A1:E5 (new sheet)</t>
        </is>
      </c>
      <c r="D130" s="96" t="inlineStr">
        <is>
          <t>(sheet did not exist)</t>
        </is>
      </c>
      <c r="E130" s="96" t="inlineStr">
        <is>
          <t>Methods table: multiplier; Fed BS/GDP; BTC lending $85B/71%; Top 1% vs Gini</t>
        </is>
      </c>
      <c r="F130" s="96" t="inlineStr">
        <is>
          <t>Added scholarly method notes. FRED MULT discontinued (last 2019-12-04). Q2 3.3 unreproducible from a current official print; retained. 21.8 could not be reconstructed from public WALCL and GDP around 2026-06-15 (closest 21.14%); retained and marked method not reconstructed. $85B / 71% retained as Q2 Glassnode/DeFiLlama snapshot; free DeFiLlama TVL is not equivalent.</t>
        </is>
      </c>
      <c r="G130" s="96" t="inlineStr">
        <is>
          <t>FRED WALCL, GDP, M2SL, BOGMBASE, MULT CSVs retrieved 2026-08-24; Q2 log citations unchanged</t>
        </is>
      </c>
    </row>
    <row r="131" ht="42" customHeight="1" s="58">
      <c r="A131" s="95" t="n">
        <v>46258</v>
      </c>
      <c r="B131" s="100" t="inlineStr">
        <is>
          <t>Resources</t>
        </is>
      </c>
      <c r="C131" s="100" t="inlineStr">
        <is>
          <t>new rows + D3/E3</t>
        </is>
      </c>
      <c r="D131" s="96" t="inlineStr">
        <is>
          <t>WALCL / GDP / BOGMBASE / WFRBST01134 links missing or only implicit</t>
        </is>
      </c>
      <c r="E131" s="96" t="inlineStr">
        <is>
          <t>Added FRED series rows for WALCL, GDP, BOGMBASE, WFRBST01134; noted MULT discontinuation on the M2 row</t>
        </is>
      </c>
      <c r="F131" s="96" t="inlineStr">
        <is>
          <t>Resources updated so official series IDs used in Methods are cited. Last Updated 24 Aug 2026 on touched rows. Workbook M2, 21.8, 3.3, $85B, 71%, and DFA top-1% values were not changed.</t>
        </is>
      </c>
      <c r="G131" s="96" t="inlineStr">
        <is>
          <t>https://fred.stlouisfed.org/series/{WALCL,GDP,BOGMBASE,WFRBST01134,M2SL,MULT}</t>
        </is>
      </c>
    </row>
    <row r="132" ht="42" customHeight="1" s="58">
      <c r="A132" s="95" t="n">
        <v>46258</v>
      </c>
      <c r="B132" s="100" t="inlineStr">
        <is>
          <t>Dashboard</t>
        </is>
      </c>
      <c r="C132" s="100" t="inlineStr">
        <is>
          <t>K23 / L23 sparklines</t>
        </is>
      </c>
      <c r="D132" s="96" t="inlineStr">
        <is>
          <t>CHANGELOG row 128 recorded sparklines as not restored after an earlier openpyxl rewrite</t>
        </is>
      </c>
      <c r="E132" s="96" t="inlineStr">
        <is>
          <t>sparklines preserved from John Quinby 2026-08-24 source (x14:sparklineGroups restored into Dashboard sheet2.xml after save)</t>
        </is>
      </c>
      <c r="F132" s="96" t="inlineStr">
        <is>
          <t>K23 = 'A.4 Forward Metric Tracking'!D2:D11 (top 1%); L23 = 'A.4 Forward Metric Tracking'!C2:C11 (self-custody). openpyxl drops sparkline extensions on save; XML was copied back from the source zip. Values and formulas untouched.</t>
        </is>
      </c>
      <c r="G132" s="96" t="inlineStr">
        <is>
          <t>Source upload sheet2.xml extLst; mapping confirmed 2026-08-24</t>
        </is>
      </c>
    </row>
    <row r="133">
      <c r="A133" t="inlineStr">
        <is>
          <t>2026-08-28</t>
        </is>
      </c>
      <c r="B133" t="inlineStr">
        <is>
          <t>Dashboard / Schedule</t>
        </is>
      </c>
      <c r="C133" t="inlineStr">
        <is>
          <t>A.4 wording</t>
        </is>
      </c>
      <c r="D133" t="inlineStr">
        <is>
          <t>K-shaped divergence narrows modestly</t>
        </is>
      </c>
      <c r="E133" t="inlineStr">
        <is>
          <t>Official DFA top-1 % net-worth share increased from 30.3 % (2023:Q4) to 31.6 % (2026:Q1) over the logged window; concentration has not narrowed</t>
        </is>
      </c>
      <c r="F133" t="inlineStr">
        <is>
          <t>Align A.4 narrative with official DFA path 30.3 to 31.6</t>
        </is>
      </c>
      <c r="G133" t="inlineStr">
        <is>
          <t>John request 28 Aug 2026</t>
        </is>
      </c>
    </row>
  </sheetData>
  <autoFilter ref="A1:G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John Quinby</dc:creator>
  <dcterms:created xsi:type="dcterms:W3CDTF">2026-03-15T00:30:14Z</dcterms:created>
  <dcterms:modified xsi:type="dcterms:W3CDTF">2026-08-28T17:58:00Z</dcterms:modified>
  <cp:lastModifiedBy>John Quinby</cp:lastModifiedBy>
  <cp:lastPrinted>2026-06-15T21:24:39Z</cp:lastPrinted>
</cp:coreProperties>
</file>